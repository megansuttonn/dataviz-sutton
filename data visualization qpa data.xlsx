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sutton/Downloads/data visualization assignment/"/>
    </mc:Choice>
  </mc:AlternateContent>
  <xr:revisionPtr revIDLastSave="0" documentId="13_ncr:1_{2A8F1EC2-01A2-1D48-A3C4-0A01B83DB9B0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pre- and post- psych and taq" sheetId="2" r:id="rId1"/>
    <sheet name="pre- and post- psych and ta (2)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O2" i="2"/>
  <c r="N2" i="2"/>
  <c r="M2" i="2"/>
  <c r="C13" i="2"/>
  <c r="C3" i="2"/>
  <c r="C4" i="2"/>
  <c r="C5" i="2"/>
  <c r="C6" i="2"/>
  <c r="C7" i="2"/>
  <c r="C8" i="2"/>
  <c r="C9" i="2"/>
  <c r="C10" i="2"/>
  <c r="C11" i="2"/>
  <c r="C12" i="2"/>
  <c r="C14" i="2"/>
  <c r="C15" i="2"/>
  <c r="C16" i="2"/>
  <c r="C17" i="2"/>
  <c r="C18" i="2"/>
  <c r="C19" i="2"/>
  <c r="C20" i="2"/>
  <c r="C2" i="2"/>
  <c r="F2" i="2"/>
  <c r="AC17" i="3" l="1"/>
  <c r="AB17" i="3"/>
  <c r="AA17" i="3"/>
  <c r="Z17" i="3"/>
  <c r="Y17" i="3"/>
  <c r="X17" i="3"/>
  <c r="W17" i="3"/>
  <c r="V17" i="3"/>
  <c r="U17" i="3"/>
  <c r="T17" i="3"/>
  <c r="S17" i="3"/>
  <c r="R17" i="3"/>
  <c r="G2" i="2"/>
</calcChain>
</file>

<file path=xl/sharedStrings.xml><?xml version="1.0" encoding="utf-8"?>
<sst xmlns="http://schemas.openxmlformats.org/spreadsheetml/2006/main" count="81" uniqueCount="55">
  <si>
    <t>ID</t>
  </si>
  <si>
    <t>Baseline</t>
  </si>
  <si>
    <t>Post-Intervention</t>
  </si>
  <si>
    <t>POSTTAQ_Total</t>
  </si>
  <si>
    <t>attend &gt;66.7</t>
  </si>
  <si>
    <t>attend 66.7-33.33</t>
  </si>
  <si>
    <t>attend &lt;33.3</t>
  </si>
  <si>
    <t xml:space="preserve"> 724</t>
  </si>
  <si>
    <t>122</t>
  </si>
  <si>
    <t>123</t>
  </si>
  <si>
    <t>129</t>
  </si>
  <si>
    <t>172</t>
  </si>
  <si>
    <t>267</t>
  </si>
  <si>
    <t>270</t>
  </si>
  <si>
    <t>290</t>
  </si>
  <si>
    <t>296</t>
  </si>
  <si>
    <t>298</t>
  </si>
  <si>
    <t>415</t>
  </si>
  <si>
    <t>417</t>
  </si>
  <si>
    <t>478</t>
  </si>
  <si>
    <t>589</t>
  </si>
  <si>
    <t>612</t>
  </si>
  <si>
    <t>638</t>
  </si>
  <si>
    <t>781</t>
  </si>
  <si>
    <t>794</t>
  </si>
  <si>
    <t>809</t>
  </si>
  <si>
    <t>Outcome</t>
  </si>
  <si>
    <t>Competence</t>
  </si>
  <si>
    <t>Autonomy</t>
  </si>
  <si>
    <t>Relatedness</t>
  </si>
  <si>
    <t>SSQ6</t>
  </si>
  <si>
    <t>BHV</t>
  </si>
  <si>
    <t>PBCC</t>
  </si>
  <si>
    <t>BUA</t>
  </si>
  <si>
    <t>AF</t>
  </si>
  <si>
    <t>EESD</t>
  </si>
  <si>
    <t>ASC</t>
  </si>
  <si>
    <t>RO</t>
  </si>
  <si>
    <t>EES_TOTAL</t>
  </si>
  <si>
    <t>BAS2</t>
  </si>
  <si>
    <t>SSQ6_PRE</t>
  </si>
  <si>
    <t>SSQ6_POST</t>
  </si>
  <si>
    <t>Attendance</t>
  </si>
  <si>
    <t>HIGH_ATT_SSQ6_PRE</t>
  </si>
  <si>
    <t>HIGH_ATT_SSQ6_POST</t>
  </si>
  <si>
    <t>LOW_ATT_SSQ6_PRE</t>
  </si>
  <si>
    <t>LOW_ATT_SSQ6_POST</t>
  </si>
  <si>
    <t>Attendance_Percent</t>
  </si>
  <si>
    <t>HIGH_ATT_AVG_PRE</t>
  </si>
  <si>
    <t>HIGH_ATT_AVG_POST</t>
  </si>
  <si>
    <t>SSQ6_PRE_AVG</t>
  </si>
  <si>
    <t>SSQ6_POST_AVG</t>
  </si>
  <si>
    <t>LOW_ATT_AVG_POST</t>
  </si>
  <si>
    <t>LOW_ATT_AVG_PRE</t>
  </si>
  <si>
    <t>Effect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</si>
</sst>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indexed="8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</font>
    <font>
      <sz val="11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4E99D"/>
        <bgColor rgb="FF000000"/>
      </patternFill>
    </fill>
    <fill>
      <patternFill patternType="solid">
        <fgColor rgb="FFF4E99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2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0" fillId="8" borderId="0" xfId="0" applyFill="1"/>
    <xf numFmtId="0" fontId="4" fillId="9" borderId="0" xfId="0" applyFont="1" applyFill="1"/>
    <xf numFmtId="0" fontId="0" fillId="0" borderId="0" xfId="0" applyAlignment="1">
      <alignment wrapText="1"/>
    </xf>
    <xf numFmtId="0" fontId="1" fillId="10" borderId="0" xfId="0" applyFont="1" applyFill="1"/>
    <xf numFmtId="0" fontId="4" fillId="0" borderId="0" xfId="0" applyFont="1"/>
    <xf numFmtId="0" fontId="5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E9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taq'!$A$2</c:f>
              <c:strCache>
                <c:ptCount val="1"/>
                <c:pt idx="0">
                  <c:v>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taq'!$D$2,'pre- and post- psych and taq'!$E$2)</c:f>
              <c:numCache>
                <c:formatCode>General</c:formatCode>
                <c:ptCount val="2"/>
                <c:pt idx="0">
                  <c:v>4.7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E-AD45-8222-F5560C232A76}"/>
            </c:ext>
          </c:extLst>
        </c:ser>
        <c:ser>
          <c:idx val="1"/>
          <c:order val="1"/>
          <c:tx>
            <c:strRef>
              <c:f>'pre- and post- psych and taq'!$A$3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taq'!$D$3,'pre- and post- psych and taq'!$E$3)</c:f>
              <c:numCache>
                <c:formatCode>General</c:formatCode>
                <c:ptCount val="2"/>
                <c:pt idx="0">
                  <c:v>3.5</c:v>
                </c:pt>
                <c:pt idx="1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E-AD45-8222-F5560C232A76}"/>
            </c:ext>
          </c:extLst>
        </c:ser>
        <c:ser>
          <c:idx val="2"/>
          <c:order val="2"/>
          <c:tx>
            <c:strRef>
              <c:f>'pre- and post- psych and taq'!$A$4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taq'!$D$4,'pre- and post- psych and taq'!$E$4)</c:f>
              <c:numCache>
                <c:formatCode>General</c:formatCode>
                <c:ptCount val="2"/>
                <c:pt idx="0">
                  <c:v>4.3</c:v>
                </c:pt>
                <c:pt idx="1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BE-AD45-8222-F5560C232A76}"/>
            </c:ext>
          </c:extLst>
        </c:ser>
        <c:ser>
          <c:idx val="3"/>
          <c:order val="3"/>
          <c:tx>
            <c:strRef>
              <c:f>'pre- and post- psych and taq'!$A$5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taq'!$D$5,'pre- and post- psych and taq'!$E$5)</c:f>
              <c:numCache>
                <c:formatCode>General</c:formatCode>
                <c:ptCount val="2"/>
                <c:pt idx="0">
                  <c:v>5</c:v>
                </c:pt>
                <c:pt idx="1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BE-AD45-8222-F5560C232A76}"/>
            </c:ext>
          </c:extLst>
        </c:ser>
        <c:ser>
          <c:idx val="4"/>
          <c:order val="4"/>
          <c:tx>
            <c:strRef>
              <c:f>'pre- and post- psych and taq'!$A$6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taq'!$D$6,'pre- and post- psych and taq'!$E$6)</c:f>
              <c:numCache>
                <c:formatCode>General</c:formatCode>
                <c:ptCount val="2"/>
                <c:pt idx="0">
                  <c:v>3.3</c:v>
                </c:pt>
                <c:pt idx="1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BE-AD45-8222-F5560C232A76}"/>
            </c:ext>
          </c:extLst>
        </c:ser>
        <c:ser>
          <c:idx val="5"/>
          <c:order val="5"/>
          <c:tx>
            <c:strRef>
              <c:f>'pre- and post- psych and taq'!$A$7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taq'!$D$7,'pre- and post- psych and taq'!$E$7)</c:f>
              <c:numCache>
                <c:formatCode>General</c:formatCode>
                <c:ptCount val="2"/>
                <c:pt idx="0">
                  <c:v>4.9000000000000004</c:v>
                </c:pt>
                <c:pt idx="1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BE-AD45-8222-F5560C232A76}"/>
            </c:ext>
          </c:extLst>
        </c:ser>
        <c:ser>
          <c:idx val="6"/>
          <c:order val="6"/>
          <c:tx>
            <c:strRef>
              <c:f>'pre- and post- psych and taq'!$A$8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taq'!$D$8,'pre- and post- psych and taq'!$E$8)</c:f>
              <c:numCache>
                <c:formatCode>General</c:formatCode>
                <c:ptCount val="2"/>
                <c:pt idx="0">
                  <c:v>5</c:v>
                </c:pt>
                <c:pt idx="1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BE-AD45-8222-F5560C232A76}"/>
            </c:ext>
          </c:extLst>
        </c:ser>
        <c:ser>
          <c:idx val="7"/>
          <c:order val="7"/>
          <c:tx>
            <c:strRef>
              <c:f>'pre- and post- psych and taq'!$A$9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taq'!$D$9,'pre- and post- psych and taq'!$E$9)</c:f>
              <c:numCache>
                <c:formatCode>General</c:formatCode>
                <c:ptCount val="2"/>
                <c:pt idx="0">
                  <c:v>5.0999999999999996</c:v>
                </c:pt>
                <c:pt idx="1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BE-AD45-8222-F5560C232A76}"/>
            </c:ext>
          </c:extLst>
        </c:ser>
        <c:ser>
          <c:idx val="8"/>
          <c:order val="8"/>
          <c:tx>
            <c:strRef>
              <c:f>'pre- and post- psych and taq'!$A$10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taq'!$D$10,'pre- and post- psych and taq'!$E$10)</c:f>
              <c:numCache>
                <c:formatCode>General</c:formatCode>
                <c:ptCount val="2"/>
                <c:pt idx="0">
                  <c:v>5</c:v>
                </c:pt>
                <c:pt idx="1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BE-AD45-8222-F5560C232A76}"/>
            </c:ext>
          </c:extLst>
        </c:ser>
        <c:ser>
          <c:idx val="9"/>
          <c:order val="9"/>
          <c:tx>
            <c:strRef>
              <c:f>'pre- and post- psych and taq'!$A$11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taq'!$D$11,'pre- and post- psych and taq'!$E$11)</c:f>
              <c:numCache>
                <c:formatCode>General</c:formatCode>
                <c:ptCount val="2"/>
                <c:pt idx="0">
                  <c:v>2.9</c:v>
                </c:pt>
                <c:pt idx="1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BE-AD45-8222-F5560C232A76}"/>
            </c:ext>
          </c:extLst>
        </c:ser>
        <c:ser>
          <c:idx val="10"/>
          <c:order val="10"/>
          <c:tx>
            <c:strRef>
              <c:f>'pre- and post- psych and taq'!$A$12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taq'!$D$12,'pre- and post- psych and taq'!$E$12)</c:f>
              <c:numCache>
                <c:formatCode>General</c:formatCode>
                <c:ptCount val="2"/>
                <c:pt idx="0">
                  <c:v>3.6</c:v>
                </c:pt>
                <c:pt idx="1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BE-AD45-8222-F5560C232A76}"/>
            </c:ext>
          </c:extLst>
        </c:ser>
        <c:ser>
          <c:idx val="11"/>
          <c:order val="11"/>
          <c:tx>
            <c:strRef>
              <c:f>'pre- and post- psych and taq'!$A$13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taq'!$D$13,'pre- and post- psych and taq'!$E$13)</c:f>
              <c:numCache>
                <c:formatCode>General</c:formatCode>
                <c:ptCount val="2"/>
                <c:pt idx="0">
                  <c:v>4.8</c:v>
                </c:pt>
                <c:pt idx="1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BE-AD45-8222-F5560C232A76}"/>
            </c:ext>
          </c:extLst>
        </c:ser>
        <c:ser>
          <c:idx val="12"/>
          <c:order val="12"/>
          <c:tx>
            <c:strRef>
              <c:f>'pre- and post- psych and taq'!$A$14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taq'!$D$14,'pre- and post- psych and taq'!$E$14)</c:f>
              <c:numCache>
                <c:formatCode>General</c:formatCode>
                <c:ptCount val="2"/>
                <c:pt idx="0">
                  <c:v>4</c:v>
                </c:pt>
                <c:pt idx="1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BE-AD45-8222-F5560C232A76}"/>
            </c:ext>
          </c:extLst>
        </c:ser>
        <c:ser>
          <c:idx val="13"/>
          <c:order val="13"/>
          <c:tx>
            <c:strRef>
              <c:f>'pre- and post- psych and taq'!$A$15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taq'!$D$15,'pre- and post- psych and taq'!$E$15)</c:f>
              <c:numCache>
                <c:formatCode>General</c:formatCode>
                <c:ptCount val="2"/>
                <c:pt idx="0">
                  <c:v>5</c:v>
                </c:pt>
                <c:pt idx="1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BE-AD45-8222-F5560C232A76}"/>
            </c:ext>
          </c:extLst>
        </c:ser>
        <c:ser>
          <c:idx val="14"/>
          <c:order val="14"/>
          <c:tx>
            <c:strRef>
              <c:f>'pre- and post- psych and taq'!$A$16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taq'!$D$16,'pre- and post- psych and taq'!$E$16)</c:f>
              <c:numCache>
                <c:formatCode>General</c:formatCode>
                <c:ptCount val="2"/>
                <c:pt idx="0">
                  <c:v>5.0999999999999996</c:v>
                </c:pt>
                <c:pt idx="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BE-AD45-8222-F5560C232A76}"/>
            </c:ext>
          </c:extLst>
        </c:ser>
        <c:ser>
          <c:idx val="15"/>
          <c:order val="15"/>
          <c:tx>
            <c:strRef>
              <c:f>'pre- and post- psych and taq'!$A$17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taq'!$D$17,'pre- and post- psych and taq'!$E$17)</c:f>
              <c:numCache>
                <c:formatCode>General</c:formatCode>
                <c:ptCount val="2"/>
                <c:pt idx="0">
                  <c:v>4.7</c:v>
                </c:pt>
                <c:pt idx="1">
                  <c:v>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BE-AD45-8222-F5560C232A76}"/>
            </c:ext>
          </c:extLst>
        </c:ser>
        <c:ser>
          <c:idx val="16"/>
          <c:order val="16"/>
          <c:tx>
            <c:strRef>
              <c:f>'pre- and post- psych and taq'!$A$18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taq'!$D$18,'pre- and post- psych and taq'!$E$18)</c:f>
              <c:numCache>
                <c:formatCode>General</c:formatCode>
                <c:ptCount val="2"/>
                <c:pt idx="0">
                  <c:v>3.9</c:v>
                </c:pt>
                <c:pt idx="1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BE-AD45-8222-F5560C232A76}"/>
            </c:ext>
          </c:extLst>
        </c:ser>
        <c:ser>
          <c:idx val="17"/>
          <c:order val="17"/>
          <c:tx>
            <c:strRef>
              <c:f>'pre- and post- psych and taq'!$A$19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taq'!$D$19,'pre- and post- psych and taq'!$E$19)</c:f>
              <c:numCache>
                <c:formatCode>General</c:formatCode>
                <c:ptCount val="2"/>
                <c:pt idx="0">
                  <c:v>5</c:v>
                </c:pt>
                <c:pt idx="1">
                  <c:v>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BE-AD45-8222-F5560C232A76}"/>
            </c:ext>
          </c:extLst>
        </c:ser>
        <c:ser>
          <c:idx val="18"/>
          <c:order val="18"/>
          <c:tx>
            <c:strRef>
              <c:f>'pre- and post- psych and taq'!$A$20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taq'!$D$1,'pre- and post- psych and taq'!$E$1)</c:f>
              <c:strCache>
                <c:ptCount val="2"/>
                <c:pt idx="0">
                  <c:v>SSQ6_PRE</c:v>
                </c:pt>
                <c:pt idx="1">
                  <c:v>SSQ6_POST</c:v>
                </c:pt>
              </c:strCache>
            </c:strRef>
          </c:cat>
          <c:val>
            <c:numRef>
              <c:f>('pre- and post- psych and taq'!$D$20,'pre- and post- psych and taq'!$E$20)</c:f>
              <c:numCache>
                <c:formatCode>General</c:formatCode>
                <c:ptCount val="2"/>
                <c:pt idx="0">
                  <c:v>3.1</c:v>
                </c:pt>
                <c:pt idx="1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BE-AD45-8222-F5560C232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88192"/>
        <c:axId val="1108780048"/>
      </c:lineChart>
      <c:catAx>
        <c:axId val="94448819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8780048"/>
        <c:crosses val="autoZero"/>
        <c:auto val="1"/>
        <c:lblAlgn val="ctr"/>
        <c:lblOffset val="100"/>
        <c:noMultiLvlLbl val="0"/>
      </c:catAx>
      <c:valAx>
        <c:axId val="1108780048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448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PNSES_C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(2)'!$B$2,'pre- and post- psych and ta (2)'!$P$2)</c:f>
              <c:numCache>
                <c:formatCode>General</c:formatCode>
                <c:ptCount val="2"/>
                <c:pt idx="0">
                  <c:v>1.3333333333333333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8-0F44-873E-1C2FC91D6B06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(2)'!$B$3,'pre- and post- psych and ta (2)'!$P$3)</c:f>
              <c:numCache>
                <c:formatCode>General</c:formatCode>
                <c:ptCount val="2"/>
                <c:pt idx="0">
                  <c:v>6.5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88-0F44-873E-1C2FC91D6B06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(2)'!$B$4,'pre- and post- psych and ta (2)'!$P$4)</c:f>
              <c:numCache>
                <c:formatCode>General</c:formatCode>
                <c:ptCount val="2"/>
                <c:pt idx="0">
                  <c:v>5</c:v>
                </c:pt>
                <c:pt idx="1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8-0F44-873E-1C2FC91D6B06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(2)'!$B$5,'pre- and post- psych and ta (2)'!$P$5)</c:f>
              <c:numCache>
                <c:formatCode>General</c:formatCode>
                <c:ptCount val="2"/>
                <c:pt idx="0">
                  <c:v>4.833333333333333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88-0F44-873E-1C2FC91D6B06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(2)'!$B$6,'pre- and post- psych and ta (2)'!$P$6)</c:f>
              <c:numCache>
                <c:formatCode>General</c:formatCode>
                <c:ptCount val="2"/>
                <c:pt idx="0">
                  <c:v>4.666666666666667</c:v>
                </c:pt>
                <c:pt idx="1">
                  <c:v>5.166666666666667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88-0F44-873E-1C2FC91D6B06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(2)'!$B$7,'pre- and post- psych and ta (2)'!$P$7)</c:f>
              <c:numCache>
                <c:formatCode>General</c:formatCode>
                <c:ptCount val="2"/>
                <c:pt idx="0">
                  <c:v>3.6666666666666665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88-0F44-873E-1C2FC91D6B06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(2)'!$B$8,'pre- and post- psych and ta (2)'!$P$8)</c:f>
              <c:numCache>
                <c:formatCode>General</c:formatCode>
                <c:ptCount val="2"/>
                <c:pt idx="0">
                  <c:v>3.8333333333333335</c:v>
                </c:pt>
                <c:pt idx="1">
                  <c:v>4.166666666666667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88-0F44-873E-1C2FC91D6B06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(2)'!$B$9,'pre- and post- psych and ta (2)'!$P$9)</c:f>
              <c:numCache>
                <c:formatCode>General</c:formatCode>
                <c:ptCount val="2"/>
                <c:pt idx="0">
                  <c:v>5.166666666666667</c:v>
                </c:pt>
                <c:pt idx="1">
                  <c:v>6.166666666666667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88-0F44-873E-1C2FC91D6B06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(2)'!$B$10,'pre- and post- psych and ta (2)'!$P$10)</c:f>
              <c:numCache>
                <c:formatCode>General</c:formatCode>
                <c:ptCount val="2"/>
                <c:pt idx="0">
                  <c:v>3.3333333333333335</c:v>
                </c:pt>
                <c:pt idx="1">
                  <c:v>6.166666666666667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88-0F44-873E-1C2FC91D6B06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(2)'!$B$11,'pre- and post- psych and ta (2)'!$P$11)</c:f>
              <c:numCache>
                <c:formatCode>General</c:formatCode>
                <c:ptCount val="2"/>
                <c:pt idx="0">
                  <c:v>3.5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88-0F44-873E-1C2FC91D6B06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(2)'!$B$12,'pre- and post- psych and ta (2)'!$P$12)</c:f>
              <c:numCache>
                <c:formatCode>General</c:formatCode>
                <c:ptCount val="2"/>
                <c:pt idx="0">
                  <c:v>4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88-0F44-873E-1C2FC91D6B06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(2)'!$B$13,'pre- and post- psych and ta (2)'!$P$13)</c:f>
              <c:numCache>
                <c:formatCode>General</c:formatCode>
                <c:ptCount val="2"/>
                <c:pt idx="0">
                  <c:v>3.3333333333333335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88-0F44-873E-1C2FC91D6B06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(2)'!$B$14,'pre- and post- psych and ta (2)'!$P$14)</c:f>
              <c:numCache>
                <c:formatCode>General</c:formatCode>
                <c:ptCount val="2"/>
                <c:pt idx="0">
                  <c:v>3.8333333299999999</c:v>
                </c:pt>
                <c:pt idx="1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88-0F44-873E-1C2FC91D6B06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(2)'!$B$15,'pre- and post- psych and ta (2)'!$P$15)</c:f>
              <c:numCache>
                <c:formatCode>General</c:formatCode>
                <c:ptCount val="2"/>
                <c:pt idx="0">
                  <c:v>3.5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88-0F44-873E-1C2FC91D6B06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(2)'!$B$16,'pre- and post- psych and ta (2)'!$P$16)</c:f>
              <c:numCache>
                <c:formatCode>General</c:formatCode>
                <c:ptCount val="2"/>
                <c:pt idx="0">
                  <c:v>5.833333333333333</c:v>
                </c:pt>
                <c:pt idx="1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88-0F44-873E-1C2FC91D6B06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(2)'!$B$17,'pre- and post- psych and ta (2)'!$P$17)</c:f>
              <c:numCache>
                <c:formatCode>General</c:formatCode>
                <c:ptCount val="2"/>
                <c:pt idx="0">
                  <c:v>2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88-0F44-873E-1C2FC91D6B06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(2)'!$B$18,'pre- and post- psych and ta (2)'!$P$18)</c:f>
              <c:numCache>
                <c:formatCode>General</c:formatCode>
                <c:ptCount val="2"/>
                <c:pt idx="0">
                  <c:v>3.6666666666666665</c:v>
                </c:pt>
                <c:pt idx="1">
                  <c:v>5.166666666666667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88-0F44-873E-1C2FC91D6B06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(2)'!$B$19,'pre- and post- psych and ta (2)'!$P$19)</c:f>
              <c:numCache>
                <c:formatCode>General</c:formatCode>
                <c:ptCount val="2"/>
                <c:pt idx="0">
                  <c:v>4.333333333333333</c:v>
                </c:pt>
                <c:pt idx="1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88-0F44-873E-1C2FC91D6B06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(2)'!$B$1,'pre- and post- psych and ta (2)'!$P$1)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(2)'!$B$20,'pre- and post- psych and ta (2)'!$P$20)</c:f>
              <c:numCache>
                <c:formatCode>General</c:formatCode>
                <c:ptCount val="2"/>
                <c:pt idx="0">
                  <c:v>5.333333333333333</c:v>
                </c:pt>
                <c:pt idx="1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88-0F44-873E-1C2FC91D6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6107632"/>
        <c:axId val="1646109344"/>
      </c:lineChart>
      <c:catAx>
        <c:axId val="1646107632"/>
        <c:scaling>
          <c:orientation val="minMax"/>
        </c:scaling>
        <c:delete val="0"/>
        <c:axPos val="b"/>
        <c:numFmt formatCode="General" sourceLinked="0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6109344"/>
        <c:crosses val="autoZero"/>
        <c:auto val="1"/>
        <c:lblAlgn val="ctr"/>
        <c:lblOffset val="100"/>
        <c:noMultiLvlLbl val="0"/>
      </c:catAx>
      <c:valAx>
        <c:axId val="164610934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610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PNSES_A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(2)'!$D$2,'pre- and post- psych and ta (2)'!$Q$2)</c:f>
              <c:numCache>
                <c:formatCode>General</c:formatCode>
                <c:ptCount val="2"/>
                <c:pt idx="0">
                  <c:v>1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3-6644-83B7-A6198C970CF8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(2)'!$D$3,'pre- and post- psych and ta (2)'!$Q$3)</c:f>
              <c:numCache>
                <c:formatCode>General</c:formatCode>
                <c:ptCount val="2"/>
                <c:pt idx="0">
                  <c:v>5.5</c:v>
                </c:pt>
                <c:pt idx="1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3-6644-83B7-A6198C970CF8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(2)'!$D$4,'pre- and post- psych and ta (2)'!$Q$4)</c:f>
              <c:numCache>
                <c:formatCode>General</c:formatCode>
                <c:ptCount val="2"/>
                <c:pt idx="0">
                  <c:v>5.833333333333333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03-6644-83B7-A6198C970CF8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(2)'!$D$5,'pre- and post- psych and ta (2)'!$Q$5)</c:f>
              <c:numCache>
                <c:formatCode>General</c:formatCode>
                <c:ptCount val="2"/>
                <c:pt idx="0">
                  <c:v>6.7681159420289854</c:v>
                </c:pt>
                <c:pt idx="1">
                  <c:v>5.166666666666667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03-6644-83B7-A6198C970CF8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(2)'!$D$6,'pre- and post- psych and ta (2)'!$Q$6)</c:f>
              <c:numCache>
                <c:formatCode>General</c:formatCode>
                <c:ptCount val="2"/>
                <c:pt idx="0">
                  <c:v>5.333333333333333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03-6644-83B7-A6198C970CF8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(2)'!$D$7,'pre- and post- psych and ta (2)'!$Q$7)</c:f>
              <c:numCache>
                <c:formatCode>General</c:formatCode>
                <c:ptCount val="2"/>
                <c:pt idx="0">
                  <c:v>5</c:v>
                </c:pt>
                <c:pt idx="1">
                  <c:v>6.833333333333333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03-6644-83B7-A6198C970CF8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(2)'!$D$8,'pre- and post- psych and ta (2)'!$Q$8)</c:f>
              <c:numCache>
                <c:formatCode>General</c:formatCode>
                <c:ptCount val="2"/>
                <c:pt idx="0">
                  <c:v>5.5</c:v>
                </c:pt>
                <c:pt idx="1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03-6644-83B7-A6198C970CF8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(2)'!$D$9,'pre- and post- psych and ta (2)'!$Q$9)</c:f>
              <c:numCache>
                <c:formatCode>General</c:formatCode>
                <c:ptCount val="2"/>
                <c:pt idx="0">
                  <c:v>5.166666666666667</c:v>
                </c:pt>
                <c:pt idx="1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603-6644-83B7-A6198C970CF8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(2)'!$D$10,'pre- and post- psych and ta (2)'!$Q$10)</c:f>
              <c:numCache>
                <c:formatCode>General</c:formatCode>
                <c:ptCount val="2"/>
                <c:pt idx="0">
                  <c:v>4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603-6644-83B7-A6198C970CF8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(2)'!$D$11,'pre- and post- psych and ta (2)'!$Q$11)</c:f>
              <c:numCache>
                <c:formatCode>General</c:formatCode>
                <c:ptCount val="2"/>
                <c:pt idx="0">
                  <c:v>4.166666666666667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603-6644-83B7-A6198C970CF8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(2)'!$D$12,'pre- and post- psych and ta (2)'!$Q$12)</c:f>
              <c:numCache>
                <c:formatCode>General</c:formatCode>
                <c:ptCount val="2"/>
                <c:pt idx="0">
                  <c:v>6.166666666666667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603-6644-83B7-A6198C970CF8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(2)'!$D$13,'pre- and post- psych and ta (2)'!$Q$13)</c:f>
              <c:numCache>
                <c:formatCode>General</c:formatCode>
                <c:ptCount val="2"/>
                <c:pt idx="0">
                  <c:v>4.833333333333333</c:v>
                </c:pt>
                <c:pt idx="1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603-6644-83B7-A6198C970CF8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(2)'!$D$14,'pre- and post- psych and ta (2)'!$Q$14)</c:f>
              <c:numCache>
                <c:formatCode>General</c:formatCode>
                <c:ptCount val="2"/>
                <c:pt idx="0">
                  <c:v>4.3333333300000003</c:v>
                </c:pt>
                <c:pt idx="1">
                  <c:v>6.333333333333333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603-6644-83B7-A6198C970CF8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(2)'!$D$15,'pre- and post- psych and ta (2)'!$Q$15)</c:f>
              <c:numCache>
                <c:formatCode>General</c:formatCode>
                <c:ptCount val="2"/>
                <c:pt idx="0">
                  <c:v>3.3333333333333335</c:v>
                </c:pt>
                <c:pt idx="1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603-6644-83B7-A6198C970CF8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(2)'!$D$16,'pre- and post- psych and ta (2)'!$Q$16)</c:f>
              <c:numCache>
                <c:formatCode>General</c:formatCode>
                <c:ptCount val="2"/>
                <c:pt idx="0">
                  <c:v>6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603-6644-83B7-A6198C970CF8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(2)'!$D$17,'pre- and post- psych and ta (2)'!$Q$17)</c:f>
              <c:numCache>
                <c:formatCode>General</c:formatCode>
                <c:ptCount val="2"/>
                <c:pt idx="0">
                  <c:v>2.1666666666666665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603-6644-83B7-A6198C970CF8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(2)'!$D$18,'pre- and post- psych and ta (2)'!$Q$18)</c:f>
              <c:numCache>
                <c:formatCode>General</c:formatCode>
                <c:ptCount val="2"/>
                <c:pt idx="0">
                  <c:v>7</c:v>
                </c:pt>
                <c:pt idx="1">
                  <c:v>6.833333333333333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603-6644-83B7-A6198C970CF8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(2)'!$D$19,'pre- and post- psych and ta (2)'!$Q$19)</c:f>
              <c:numCache>
                <c:formatCode>General</c:formatCode>
                <c:ptCount val="2"/>
                <c:pt idx="0">
                  <c:v>4.333333333333333</c:v>
                </c:pt>
                <c:pt idx="1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603-6644-83B7-A6198C970CF8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(2)'!$D$1,'pre- and post- psych and ta (2)'!$Q$1)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(2)'!$D$20,'pre- and post- psych and ta (2)'!$Q$20)</c:f>
              <c:numCache>
                <c:formatCode>General</c:formatCode>
                <c:ptCount val="2"/>
                <c:pt idx="0">
                  <c:v>4.666666666666667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603-6644-83B7-A6198C970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929504"/>
        <c:axId val="944294016"/>
      </c:lineChart>
      <c:catAx>
        <c:axId val="1180929504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4294016"/>
        <c:crosses val="autoZero"/>
        <c:auto val="1"/>
        <c:lblAlgn val="ctr"/>
        <c:lblOffset val="100"/>
        <c:noMultiLvlLbl val="0"/>
      </c:catAx>
      <c:valAx>
        <c:axId val="9442940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809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PNSES_R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(2)'!$E$2,'pre- and post- psych and ta (2)'!$R$2)</c:f>
              <c:numCache>
                <c:formatCode>General</c:formatCode>
                <c:ptCount val="2"/>
                <c:pt idx="0">
                  <c:v>1.2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A-AF45-83FD-92E0E4BEBC2C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(2)'!$E$3,'pre- and post- psych and ta (2)'!$R$3)</c:f>
              <c:numCache>
                <c:formatCode>General</c:formatCode>
                <c:ptCount val="2"/>
                <c:pt idx="0">
                  <c:v>4.5999999999999996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A-AF45-83FD-92E0E4BEBC2C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(2)'!$E$4,'pre- and post- psych and ta (2)'!$R$4)</c:f>
              <c:numCache>
                <c:formatCode>General</c:formatCode>
                <c:ptCount val="2"/>
                <c:pt idx="0">
                  <c:v>5.6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0A-AF45-83FD-92E0E4BEBC2C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(2)'!$E$5,'pre- and post- psych and ta (2)'!$R$5)</c:f>
              <c:numCache>
                <c:formatCode>General</c:formatCode>
                <c:ptCount val="2"/>
                <c:pt idx="0">
                  <c:v>4</c:v>
                </c:pt>
                <c:pt idx="1">
                  <c:v>3.6666666666666665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0A-AF45-83FD-92E0E4BEBC2C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(2)'!$E$6,'pre- and post- psych and ta (2)'!$R$6)</c:f>
              <c:numCache>
                <c:formatCode>General</c:formatCode>
                <c:ptCount val="2"/>
                <c:pt idx="0">
                  <c:v>4.8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0A-AF45-83FD-92E0E4BEBC2C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(2)'!$E$7,'pre- and post- psych and ta (2)'!$R$7)</c:f>
              <c:numCache>
                <c:formatCode>General</c:formatCode>
                <c:ptCount val="2"/>
                <c:pt idx="0">
                  <c:v>4.2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0A-AF45-83FD-92E0E4BEBC2C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(2)'!$E$8,'pre- and post- psych and ta (2)'!$R$8)</c:f>
              <c:numCache>
                <c:formatCode>General</c:formatCode>
                <c:ptCount val="2"/>
                <c:pt idx="0">
                  <c:v>4.4000000000000004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0A-AF45-83FD-92E0E4BEBC2C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(2)'!$E$9,'pre- and post- psych and ta (2)'!$R$9)</c:f>
              <c:numCache>
                <c:formatCode>General</c:formatCode>
                <c:ptCount val="2"/>
                <c:pt idx="0">
                  <c:v>4.5999999999999996</c:v>
                </c:pt>
                <c:pt idx="1">
                  <c:v>3.6666666666666665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0A-AF45-83FD-92E0E4BEBC2C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(2)'!$E$10,'pre- and post- psych and ta (2)'!$R$10)</c:f>
              <c:numCache>
                <c:formatCode>General</c:formatCode>
                <c:ptCount val="2"/>
                <c:pt idx="0">
                  <c:v>5</c:v>
                </c:pt>
                <c:pt idx="1">
                  <c:v>4.333333333333333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0A-AF45-83FD-92E0E4BEBC2C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(2)'!$E$11,'pre- and post- psych and ta (2)'!$R$11)</c:f>
              <c:numCache>
                <c:formatCode>General</c:formatCode>
                <c:ptCount val="2"/>
                <c:pt idx="0">
                  <c:v>3.6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0A-AF45-83FD-92E0E4BEBC2C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(2)'!$E$12,'pre- and post- psych and ta (2)'!$R$12)</c:f>
              <c:numCache>
                <c:formatCode>General</c:formatCode>
                <c:ptCount val="2"/>
                <c:pt idx="0">
                  <c:v>3.6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0A-AF45-83FD-92E0E4BEBC2C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(2)'!$E$13,'pre- and post- psych and ta (2)'!$R$13)</c:f>
              <c:numCache>
                <c:formatCode>General</c:formatCode>
                <c:ptCount val="2"/>
                <c:pt idx="0">
                  <c:v>3.6</c:v>
                </c:pt>
                <c:pt idx="1">
                  <c:v>2.1666666666666665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0A-AF45-83FD-92E0E4BEBC2C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(2)'!$E$14,'pre- and post- psych and ta (2)'!$R$14)</c:f>
              <c:numCache>
                <c:formatCode>General</c:formatCode>
                <c:ptCount val="2"/>
                <c:pt idx="0">
                  <c:v>4</c:v>
                </c:pt>
                <c:pt idx="1">
                  <c:v>4.166666666666667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0A-AF45-83FD-92E0E4BEBC2C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(2)'!$E$15,'pre- and post- psych and ta (2)'!$R$15)</c:f>
              <c:numCache>
                <c:formatCode>General</c:formatCode>
                <c:ptCount val="2"/>
                <c:pt idx="0">
                  <c:v>3.6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20A-AF45-83FD-92E0E4BEBC2C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(2)'!$E$16,'pre- and post- psych and ta (2)'!$R$16)</c:f>
              <c:numCache>
                <c:formatCode>General</c:formatCode>
                <c:ptCount val="2"/>
                <c:pt idx="0">
                  <c:v>4.5999999999999996</c:v>
                </c:pt>
                <c:pt idx="1">
                  <c:v>4.833333333333333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0A-AF45-83FD-92E0E4BEBC2C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(2)'!$E$17,'pre- and post- psych and ta (2)'!$R$17)</c:f>
              <c:numCache>
                <c:formatCode>General</c:formatCode>
                <c:ptCount val="2"/>
                <c:pt idx="0">
                  <c:v>2.4</c:v>
                </c:pt>
                <c:pt idx="1">
                  <c:v>4.3518518518518512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20A-AF45-83FD-92E0E4BEBC2C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(2)'!$E$18,'pre- and post- psych and ta (2)'!$R$18)</c:f>
              <c:numCache>
                <c:formatCode>General</c:formatCode>
                <c:ptCount val="2"/>
                <c:pt idx="0">
                  <c:v>4.8</c:v>
                </c:pt>
                <c:pt idx="1">
                  <c:v>4.166666666666667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20A-AF45-83FD-92E0E4BEBC2C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(2)'!$E$19,'pre- and post- psych and ta (2)'!$R$19)</c:f>
              <c:numCache>
                <c:formatCode>General</c:formatCode>
                <c:ptCount val="2"/>
                <c:pt idx="0">
                  <c:v>4.4000000000000004</c:v>
                </c:pt>
                <c:pt idx="1">
                  <c:v>4.333333333333333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20A-AF45-83FD-92E0E4BEBC2C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(2)'!$E$1,'pre- and post- psych and ta (2)'!$R$1)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(2)'!$E$20,'pre- and post- psych and ta (2)'!$R$20)</c:f>
              <c:numCache>
                <c:formatCode>General</c:formatCode>
                <c:ptCount val="2"/>
                <c:pt idx="0">
                  <c:v>5.8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20A-AF45-83FD-92E0E4BEB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296032"/>
        <c:axId val="978421376"/>
      </c:lineChart>
      <c:catAx>
        <c:axId val="97929603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8421376"/>
        <c:crosses val="autoZero"/>
        <c:auto val="1"/>
        <c:lblAlgn val="ctr"/>
        <c:lblOffset val="100"/>
        <c:noMultiLvlLbl val="0"/>
      </c:catAx>
      <c:valAx>
        <c:axId val="9784213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7929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SSQ6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(2)'!$F$2,'pre- and post- psych and ta (2)'!$S$2)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E-7448-A32B-BF0200A256CA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(2)'!$F$3,'pre- and post- psych and ta (2)'!$S$3)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E-7448-A32B-BF0200A256CA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(2)'!$F$4,'pre- and post- psych and ta (2)'!$S$4)</c:f>
              <c:numCache>
                <c:formatCode>General</c:formatCode>
                <c:ptCount val="2"/>
                <c:pt idx="0">
                  <c:v>4.833333333333333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BE-7448-A32B-BF0200A256CA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(2)'!$F$5,'pre- and post- psych and ta (2)'!$S$5)</c:f>
              <c:numCache>
                <c:formatCode>General</c:formatCode>
                <c:ptCount val="2"/>
                <c:pt idx="0">
                  <c:v>5.5</c:v>
                </c:pt>
                <c:pt idx="1">
                  <c:v>3.1666666666666665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BE-7448-A32B-BF0200A256CA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(2)'!$F$6,'pre- and post- psych and ta (2)'!$S$6)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BE-7448-A32B-BF0200A256CA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(2)'!$F$7,'pre- and post- psych and ta (2)'!$S$7)</c:f>
              <c:numCache>
                <c:formatCode>General</c:formatCode>
                <c:ptCount val="2"/>
                <c:pt idx="0">
                  <c:v>4.166666666666667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BE-7448-A32B-BF0200A256CA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(2)'!$F$8,'pre- and post- psych and ta (2)'!$S$8)</c:f>
              <c:numCache>
                <c:formatCode>General</c:formatCode>
                <c:ptCount val="2"/>
                <c:pt idx="0">
                  <c:v>5.5</c:v>
                </c:pt>
                <c:pt idx="1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BE-7448-A32B-BF0200A256CA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(2)'!$F$9,'pre- and post- psych and ta (2)'!$S$9)</c:f>
              <c:numCache>
                <c:formatCode>General</c:formatCode>
                <c:ptCount val="2"/>
                <c:pt idx="0">
                  <c:v>5</c:v>
                </c:pt>
                <c:pt idx="1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BE-7448-A32B-BF0200A256CA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(2)'!$F$10,'pre- and post- psych and ta (2)'!$S$10)</c:f>
              <c:numCache>
                <c:formatCode>General</c:formatCode>
                <c:ptCount val="2"/>
                <c:pt idx="0">
                  <c:v>5.166666666666667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BE-7448-A32B-BF0200A256CA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(2)'!$F$11,'pre- and post- psych and ta (2)'!$S$11)</c:f>
              <c:numCache>
                <c:formatCode>General</c:formatCode>
                <c:ptCount val="2"/>
                <c:pt idx="0">
                  <c:v>5.5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BBE-7448-A32B-BF0200A256CA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(2)'!$F$12,'pre- and post- psych and ta (2)'!$S$12)</c:f>
              <c:numCache>
                <c:formatCode>General</c:formatCode>
                <c:ptCount val="2"/>
                <c:pt idx="0">
                  <c:v>5.333333333333333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BBE-7448-A32B-BF0200A256CA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(2)'!$F$13,'pre- and post- psych and ta (2)'!$S$13)</c:f>
              <c:numCache>
                <c:formatCode>General</c:formatCode>
                <c:ptCount val="2"/>
                <c:pt idx="0">
                  <c:v>5.166666666666667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BBE-7448-A32B-BF0200A256CA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(2)'!$F$14,'pre- and post- psych and ta (2)'!$S$14)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BE-7448-A32B-BF0200A256CA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(2)'!$F$15,'pre- and post- psych and ta (2)'!$S$15)</c:f>
              <c:numCache>
                <c:formatCode>General</c:formatCode>
                <c:ptCount val="2"/>
                <c:pt idx="0">
                  <c:v>5.833333333333333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BBE-7448-A32B-BF0200A256CA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(2)'!$F$16,'pre- and post- psych and ta (2)'!$S$16)</c:f>
              <c:numCache>
                <c:formatCode>General</c:formatCode>
                <c:ptCount val="2"/>
                <c:pt idx="0">
                  <c:v>5.5</c:v>
                </c:pt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BBE-7448-A32B-BF0200A256CA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(2)'!$F$17,'pre- and post- psych and ta (2)'!$S$17)</c:f>
              <c:numCache>
                <c:formatCode>General</c:formatCode>
                <c:ptCount val="2"/>
                <c:pt idx="0">
                  <c:v>5</c:v>
                </c:pt>
                <c:pt idx="1">
                  <c:v>5.2222222222222223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BBE-7448-A32B-BF0200A256CA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(2)'!$F$18,'pre- and post- psych and ta (2)'!$S$18)</c:f>
              <c:numCache>
                <c:formatCode>General</c:formatCode>
                <c:ptCount val="2"/>
                <c:pt idx="0">
                  <c:v>4</c:v>
                </c:pt>
                <c:pt idx="1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BBE-7448-A32B-BF0200A256CA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(2)'!$F$19,'pre- and post- psych and ta (2)'!$S$19)</c:f>
              <c:numCache>
                <c:formatCode>General</c:formatCode>
                <c:ptCount val="2"/>
                <c:pt idx="0">
                  <c:v>6</c:v>
                </c:pt>
                <c:pt idx="1">
                  <c:v>5.833333333333333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BBE-7448-A32B-BF0200A256CA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(2)'!$F$1,'pre- and post- psych and ta (2)'!$S$1)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(2)'!$F$20,'pre- and post- psych and ta (2)'!$S$20)</c:f>
              <c:numCache>
                <c:formatCode>General</c:formatCode>
                <c:ptCount val="2"/>
                <c:pt idx="0">
                  <c:v>6</c:v>
                </c:pt>
                <c:pt idx="1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BBE-7448-A32B-BF0200A25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488192"/>
        <c:axId val="1108780048"/>
      </c:lineChart>
      <c:catAx>
        <c:axId val="94448819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08780048"/>
        <c:crosses val="autoZero"/>
        <c:auto val="1"/>
        <c:lblAlgn val="ctr"/>
        <c:lblOffset val="100"/>
        <c:noMultiLvlLbl val="0"/>
      </c:catAx>
      <c:valAx>
        <c:axId val="11087800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448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BHV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(2)'!$G$2,'pre- and post- psych and ta (2)'!$T$2)</c:f>
              <c:numCache>
                <c:formatCode>General</c:formatCode>
                <c:ptCount val="2"/>
                <c:pt idx="0">
                  <c:v>15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2D-6544-9C87-F31D7394EB24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(2)'!$G$3,'pre- and post- psych and ta (2)'!$T$3)</c:f>
              <c:numCache>
                <c:formatCode>General</c:formatCode>
                <c:ptCount val="2"/>
                <c:pt idx="0">
                  <c:v>17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D-6544-9C87-F31D7394EB24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(2)'!$G$4,'pre- and post- psych and ta (2)'!$T$4)</c:f>
              <c:numCache>
                <c:formatCode>General</c:formatCode>
                <c:ptCount val="2"/>
                <c:pt idx="0">
                  <c:v>10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D-6544-9C87-F31D7394EB24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(2)'!$G$5,'pre- and post- psych and ta (2)'!$T$5)</c:f>
              <c:numCache>
                <c:formatCode>General</c:formatCode>
                <c:ptCount val="2"/>
                <c:pt idx="0">
                  <c:v>12</c:v>
                </c:pt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2D-6544-9C87-F31D7394EB24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(2)'!$G$6,'pre- and post- psych and ta (2)'!$T$6)</c:f>
              <c:numCache>
                <c:formatCode>General</c:formatCode>
                <c:ptCount val="2"/>
                <c:pt idx="0">
                  <c:v>19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2D-6544-9C87-F31D7394EB24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(2)'!$G$7,'pre- and post- psych and ta (2)'!$T$7)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2D-6544-9C87-F31D7394EB24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(2)'!$G$8,'pre- and post- psych and ta (2)'!$T$8)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2D-6544-9C87-F31D7394EB24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(2)'!$G$9,'pre- and post- psych and ta (2)'!$T$9)</c:f>
              <c:numCache>
                <c:formatCode>General</c:formatCode>
                <c:ptCount val="2"/>
                <c:pt idx="0">
                  <c:v>12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2D-6544-9C87-F31D7394EB24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(2)'!$G$10,'pre- and post- psych and ta (2)'!$T$10)</c:f>
              <c:numCache>
                <c:formatCode>General</c:formatCode>
                <c:ptCount val="2"/>
                <c:pt idx="0">
                  <c:v>16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2D-6544-9C87-F31D7394EB24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(2)'!$G$11,'pre- and post- psych and ta (2)'!$T$11)</c:f>
              <c:numCache>
                <c:formatCode>General</c:formatCode>
                <c:ptCount val="2"/>
                <c:pt idx="0">
                  <c:v>18</c:v>
                </c:pt>
                <c:pt idx="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2D-6544-9C87-F31D7394EB24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(2)'!$G$12,'pre- and post- psych and ta (2)'!$T$12)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2D-6544-9C87-F31D7394EB24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(2)'!$G$13,'pre- and post- psych and ta (2)'!$T$13)</c:f>
              <c:numCache>
                <c:formatCode>General</c:formatCode>
                <c:ptCount val="2"/>
                <c:pt idx="0">
                  <c:v>20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2D-6544-9C87-F31D7394EB24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(2)'!$G$14,'pre- and post- psych and ta (2)'!$T$14)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2D-6544-9C87-F31D7394EB24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(2)'!$G$15,'pre- and post- psych and ta (2)'!$T$15)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2D-6544-9C87-F31D7394EB24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(2)'!$G$16,'pre- and post- psych and ta (2)'!$T$16)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2D-6544-9C87-F31D7394EB24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(2)'!$G$17,'pre- and post- psych and ta (2)'!$T$17)</c:f>
              <c:numCache>
                <c:formatCode>General</c:formatCode>
                <c:ptCount val="2"/>
                <c:pt idx="0">
                  <c:v>15</c:v>
                </c:pt>
                <c:pt idx="1">
                  <c:v>14.166666666666666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A2D-6544-9C87-F31D7394EB24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(2)'!$G$18,'pre- and post- psych and ta (2)'!$T$18)</c:f>
              <c:numCache>
                <c:formatCode>General</c:formatCode>
                <c:ptCount val="2"/>
                <c:pt idx="0">
                  <c:v>5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A2D-6544-9C87-F31D7394EB24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(2)'!$G$19,'pre- and post- psych and ta (2)'!$T$19)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2D-6544-9C87-F31D7394EB24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(2)'!$G$1,'pre- and post- psych and ta (2)'!$T$1)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(2)'!$G$20,'pre- and post- psych and ta (2)'!$T$20)</c:f>
              <c:numCache>
                <c:formatCode>General</c:formatCode>
                <c:ptCount val="2"/>
                <c:pt idx="0">
                  <c:v>17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A2D-6544-9C87-F31D7394E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678511"/>
        <c:axId val="534675871"/>
      </c:lineChart>
      <c:catAx>
        <c:axId val="534678511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4675871"/>
        <c:crosses val="autoZero"/>
        <c:auto val="1"/>
        <c:lblAlgn val="ctr"/>
        <c:lblOffset val="100"/>
        <c:noMultiLvlLbl val="0"/>
      </c:catAx>
      <c:valAx>
        <c:axId val="5346758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4678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EES_PBCC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(2)'!$H$2,'pre- and post- psych and ta (2)'!$U$2)</c:f>
              <c:numCache>
                <c:formatCode>General</c:formatCode>
                <c:ptCount val="2"/>
                <c:pt idx="0">
                  <c:v>15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D-2346-B9A2-ED96D7523460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(2)'!$H$3,'pre- and post- psych and ta (2)'!$U$3)</c:f>
              <c:numCache>
                <c:formatCode>General</c:formatCode>
                <c:ptCount val="2"/>
                <c:pt idx="0">
                  <c:v>25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D-2346-B9A2-ED96D7523460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(2)'!$H$4,'pre- and post- psych and ta (2)'!$U$4)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1D-2346-B9A2-ED96D7523460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(2)'!$H$5,'pre- and post- psych and ta (2)'!$U$5)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1D-2346-B9A2-ED96D7523460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(2)'!$H$6,'pre- and post- psych and ta (2)'!$U$6)</c:f>
              <c:numCache>
                <c:formatCode>General</c:formatCode>
                <c:ptCount val="2"/>
                <c:pt idx="0">
                  <c:v>25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1D-2346-B9A2-ED96D7523460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(2)'!$H$7,'pre- and post- psych and ta (2)'!$U$7)</c:f>
              <c:numCache>
                <c:formatCode>General</c:formatCode>
                <c:ptCount val="2"/>
                <c:pt idx="0">
                  <c:v>20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31D-2346-B9A2-ED96D7523460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(2)'!$H$8,'pre- and post- psych and ta (2)'!$U$8)</c:f>
              <c:numCache>
                <c:formatCode>General</c:formatCode>
                <c:ptCount val="2"/>
                <c:pt idx="0">
                  <c:v>19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1D-2346-B9A2-ED96D7523460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(2)'!$H$9,'pre- and post- psych and ta (2)'!$U$9)</c:f>
              <c:numCache>
                <c:formatCode>General</c:formatCode>
                <c:ptCount val="2"/>
                <c:pt idx="0">
                  <c:v>18.208333333333336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31D-2346-B9A2-ED96D7523460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(2)'!$H$10,'pre- and post- psych and ta (2)'!$U$10)</c:f>
              <c:numCache>
                <c:formatCode>General</c:formatCode>
                <c:ptCount val="2"/>
                <c:pt idx="0">
                  <c:v>17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1D-2346-B9A2-ED96D7523460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(2)'!$H$11,'pre- and post- psych and ta (2)'!$U$11)</c:f>
              <c:numCache>
                <c:formatCode>General</c:formatCode>
                <c:ptCount val="2"/>
                <c:pt idx="0">
                  <c:v>20</c:v>
                </c:pt>
                <c:pt idx="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1D-2346-B9A2-ED96D7523460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(2)'!$H$12,'pre- and post- psych and ta (2)'!$U$12)</c:f>
              <c:numCache>
                <c:formatCode>General</c:formatCode>
                <c:ptCount val="2"/>
                <c:pt idx="0">
                  <c:v>26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1D-2346-B9A2-ED96D7523460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(2)'!$H$13,'pre- and post- psych and ta (2)'!$U$13)</c:f>
              <c:numCache>
                <c:formatCode>General</c:formatCode>
                <c:ptCount val="2"/>
                <c:pt idx="0">
                  <c:v>23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31D-2346-B9A2-ED96D7523460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(2)'!$H$14,'pre- and post- psych and ta (2)'!$U$14)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1D-2346-B9A2-ED96D7523460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(2)'!$H$15,'pre- and post- psych and ta (2)'!$U$15)</c:f>
              <c:numCache>
                <c:formatCode>General</c:formatCode>
                <c:ptCount val="2"/>
                <c:pt idx="0">
                  <c:v>19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31D-2346-B9A2-ED96D7523460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(2)'!$H$16,'pre- and post- psych and ta (2)'!$U$16)</c:f>
              <c:numCache>
                <c:formatCode>General</c:formatCode>
                <c:ptCount val="2"/>
                <c:pt idx="0">
                  <c:v>25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1D-2346-B9A2-ED96D7523460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(2)'!$H$17,'pre- and post- psych and ta (2)'!$U$17)</c:f>
              <c:numCache>
                <c:formatCode>General</c:formatCode>
                <c:ptCount val="2"/>
                <c:pt idx="0">
                  <c:v>14</c:v>
                </c:pt>
                <c:pt idx="1">
                  <c:v>22.222222222222221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31D-2346-B9A2-ED96D7523460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(2)'!$H$18,'pre- and post- psych and ta (2)'!$U$18)</c:f>
              <c:numCache>
                <c:formatCode>General</c:formatCode>
                <c:ptCount val="2"/>
                <c:pt idx="0">
                  <c:v>18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1D-2346-B9A2-ED96D7523460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(2)'!$H$19,'pre- and post- psych and ta (2)'!$U$19)</c:f>
              <c:numCache>
                <c:formatCode>General</c:formatCode>
                <c:ptCount val="2"/>
                <c:pt idx="0">
                  <c:v>19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1D-2346-B9A2-ED96D7523460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(2)'!$H$1,'pre- and post- psych and ta (2)'!$U$1)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(2)'!$H$20,'pre- and post- psych and ta (2)'!$U$20)</c:f>
              <c:numCache>
                <c:formatCode>General</c:formatCode>
                <c:ptCount val="2"/>
                <c:pt idx="0">
                  <c:v>15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1D-2346-B9A2-ED96D7523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207392"/>
        <c:axId val="1644187376"/>
      </c:lineChart>
      <c:catAx>
        <c:axId val="164420739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187376"/>
        <c:crosses val="autoZero"/>
        <c:auto val="1"/>
        <c:lblAlgn val="ctr"/>
        <c:lblOffset val="100"/>
        <c:noMultiLvlLbl val="0"/>
      </c:catAx>
      <c:valAx>
        <c:axId val="16441873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20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EES_BUA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(2)'!$I$2,'pre- and post- psych and ta (2)'!$V$2)</c:f>
              <c:numCache>
                <c:formatCode>General</c:formatCode>
                <c:ptCount val="2"/>
                <c:pt idx="0">
                  <c:v>19.583333333333336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2-3F40-8205-1EC59020F0F3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(2)'!$I$3,'pre- and post- psych and ta (2)'!$V$3)</c:f>
              <c:numCache>
                <c:formatCode>General</c:formatCode>
                <c:ptCount val="2"/>
                <c:pt idx="0">
                  <c:v>19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2-3F40-8205-1EC59020F0F3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(2)'!$I$4,'pre- and post- psych and ta (2)'!$V$4)</c:f>
              <c:numCache>
                <c:formatCode>General</c:formatCode>
                <c:ptCount val="2"/>
                <c:pt idx="0">
                  <c:v>13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72-3F40-8205-1EC59020F0F3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(2)'!$I$5,'pre- and post- psych and ta (2)'!$V$5)</c:f>
              <c:numCache>
                <c:formatCode>General</c:formatCode>
                <c:ptCount val="2"/>
                <c:pt idx="0">
                  <c:v>25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72-3F40-8205-1EC59020F0F3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(2)'!$I$6,'pre- and post- psych and ta (2)'!$V$6)</c:f>
              <c:numCache>
                <c:formatCode>General</c:formatCode>
                <c:ptCount val="2"/>
                <c:pt idx="0">
                  <c:v>26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72-3F40-8205-1EC59020F0F3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(2)'!$I$7,'pre- and post- psych and ta (2)'!$V$7)</c:f>
              <c:numCache>
                <c:formatCode>General</c:formatCode>
                <c:ptCount val="2"/>
                <c:pt idx="0">
                  <c:v>24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72-3F40-8205-1EC59020F0F3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(2)'!$I$8,'pre- and post- psych and ta (2)'!$V$8)</c:f>
              <c:numCache>
                <c:formatCode>General</c:formatCode>
                <c:ptCount val="2"/>
                <c:pt idx="0">
                  <c:v>17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72-3F40-8205-1EC59020F0F3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(2)'!$I$9,'pre- and post- psych and ta (2)'!$V$9)</c:f>
              <c:numCache>
                <c:formatCode>General</c:formatCode>
                <c:ptCount val="2"/>
                <c:pt idx="0">
                  <c:v>24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72-3F40-8205-1EC59020F0F3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(2)'!$I$10,'pre- and post- psych and ta (2)'!$V$10)</c:f>
              <c:numCache>
                <c:formatCode>General</c:formatCode>
                <c:ptCount val="2"/>
                <c:pt idx="0">
                  <c:v>24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72-3F40-8205-1EC59020F0F3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(2)'!$I$11,'pre- and post- psych and ta (2)'!$V$11)</c:f>
              <c:numCache>
                <c:formatCode>General</c:formatCode>
                <c:ptCount val="2"/>
                <c:pt idx="0">
                  <c:v>32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72-3F40-8205-1EC59020F0F3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(2)'!$I$12,'pre- and post- psych and ta (2)'!$V$12)</c:f>
              <c:numCache>
                <c:formatCode>General</c:formatCode>
                <c:ptCount val="2"/>
                <c:pt idx="0">
                  <c:v>33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472-3F40-8205-1EC59020F0F3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(2)'!$I$13,'pre- and post- psych and ta (2)'!$V$13)</c:f>
              <c:numCache>
                <c:formatCode>General</c:formatCode>
                <c:ptCount val="2"/>
                <c:pt idx="0">
                  <c:v>19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472-3F40-8205-1EC59020F0F3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(2)'!$I$14,'pre- and post- psych and ta (2)'!$V$14)</c:f>
              <c:numCache>
                <c:formatCode>General</c:formatCode>
                <c:ptCount val="2"/>
                <c:pt idx="0">
                  <c:v>29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472-3F40-8205-1EC59020F0F3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(2)'!$I$15,'pre- and post- psych and ta (2)'!$V$15)</c:f>
              <c:numCache>
                <c:formatCode>General</c:formatCode>
                <c:ptCount val="2"/>
                <c:pt idx="0">
                  <c:v>23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472-3F40-8205-1EC59020F0F3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(2)'!$I$16,'pre- and post- psych and ta (2)'!$V$16)</c:f>
              <c:numCache>
                <c:formatCode>General</c:formatCode>
                <c:ptCount val="2"/>
                <c:pt idx="0">
                  <c:v>37</c:v>
                </c:pt>
                <c:pt idx="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472-3F40-8205-1EC59020F0F3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(2)'!$I$17,'pre- and post- psych and ta (2)'!$V$17)</c:f>
              <c:numCache>
                <c:formatCode>General</c:formatCode>
                <c:ptCount val="2"/>
                <c:pt idx="0">
                  <c:v>16</c:v>
                </c:pt>
                <c:pt idx="1">
                  <c:v>24.222222222222221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472-3F40-8205-1EC59020F0F3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(2)'!$I$18,'pre- and post- psych and ta (2)'!$V$18)</c:f>
              <c:numCache>
                <c:formatCode>General</c:formatCode>
                <c:ptCount val="2"/>
                <c:pt idx="0">
                  <c:v>21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472-3F40-8205-1EC59020F0F3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(2)'!$I$19,'pre- and post- psych and ta (2)'!$V$19)</c:f>
              <c:numCache>
                <c:formatCode>General</c:formatCode>
                <c:ptCount val="2"/>
                <c:pt idx="0">
                  <c:v>20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472-3F40-8205-1EC59020F0F3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(2)'!$I$1,'pre- and post- psych and ta (2)'!$V$1)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(2)'!$I$20,'pre- and post- psych and ta (2)'!$V$20)</c:f>
              <c:numCache>
                <c:formatCode>General</c:formatCode>
                <c:ptCount val="2"/>
                <c:pt idx="0">
                  <c:v>13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472-3F40-8205-1EC59020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751119"/>
        <c:axId val="534176431"/>
      </c:lineChart>
      <c:catAx>
        <c:axId val="533751119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4176431"/>
        <c:crosses val="autoZero"/>
        <c:auto val="1"/>
        <c:lblAlgn val="ctr"/>
        <c:lblOffset val="100"/>
        <c:noMultiLvlLbl val="0"/>
      </c:catAx>
      <c:valAx>
        <c:axId val="534176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3375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EES_EESC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(2)'!$K$2,'pre- and post- psych and ta (2)'!$X$2)</c:f>
              <c:numCache>
                <c:formatCode>General</c:formatCode>
                <c:ptCount val="2"/>
                <c:pt idx="0">
                  <c:v>6</c:v>
                </c:pt>
                <c:pt idx="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5-F448-A0F7-D898047AA539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(2)'!$K$3,'pre- and post- psych and ta (2)'!$X$3)</c:f>
              <c:numCache>
                <c:formatCode>General</c:formatCode>
                <c:ptCount val="2"/>
                <c:pt idx="0">
                  <c:v>16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5-F448-A0F7-D898047AA539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(2)'!$K$4,'pre- and post- psych and ta (2)'!$X$4)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5-F448-A0F7-D898047AA539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(2)'!$K$5,'pre- and post- psych and ta (2)'!$X$5)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5-F448-A0F7-D898047AA539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(2)'!$K$6,'pre- and post- psych and ta (2)'!$X$6)</c:f>
              <c:numCache>
                <c:formatCode>General</c:formatCode>
                <c:ptCount val="2"/>
                <c:pt idx="0">
                  <c:v>5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E5-F448-A0F7-D898047AA539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(2)'!$K$7,'pre- and post- psych and ta (2)'!$X$7)</c:f>
              <c:numCache>
                <c:formatCode>General</c:formatCode>
                <c:ptCount val="2"/>
                <c:pt idx="0">
                  <c:v>11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E5-F448-A0F7-D898047AA539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(2)'!$K$8,'pre- and post- psych and ta (2)'!$X$8)</c:f>
              <c:numCache>
                <c:formatCode>General</c:formatCode>
                <c:ptCount val="2"/>
                <c:pt idx="0">
                  <c:v>14</c:v>
                </c:pt>
                <c:pt idx="1">
                  <c:v>15.529411764705882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E5-F448-A0F7-D898047AA539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(2)'!$K$9,'pre- and post- psych and ta (2)'!$X$9)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E5-F448-A0F7-D898047AA539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(2)'!$K$10,'pre- and post- psych and ta (2)'!$X$10)</c:f>
              <c:numCache>
                <c:formatCode>General</c:formatCode>
                <c:ptCount val="2"/>
                <c:pt idx="0">
                  <c:v>16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E5-F448-A0F7-D898047AA539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(2)'!$K$11,'pre- and post- psych and ta (2)'!$X$11)</c:f>
              <c:numCache>
                <c:formatCode>General</c:formatCode>
                <c:ptCount val="2"/>
                <c:pt idx="0">
                  <c:v>12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E5-F448-A0F7-D898047AA539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(2)'!$K$12,'pre- and post- psych and ta (2)'!$X$12)</c:f>
              <c:numCache>
                <c:formatCode>General</c:formatCode>
                <c:ptCount val="2"/>
                <c:pt idx="0">
                  <c:v>15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E5-F448-A0F7-D898047AA539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(2)'!$K$13,'pre- and post- psych and ta (2)'!$X$13)</c:f>
              <c:numCache>
                <c:formatCode>General</c:formatCode>
                <c:ptCount val="2"/>
                <c:pt idx="0">
                  <c:v>18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E5-F448-A0F7-D898047AA539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(2)'!$K$14,'pre- and post- psych and ta (2)'!$X$14)</c:f>
              <c:numCache>
                <c:formatCode>General</c:formatCode>
                <c:ptCount val="2"/>
                <c:pt idx="0">
                  <c:v>14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E5-F448-A0F7-D898047AA539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(2)'!$K$15,'pre- and post- psych and ta (2)'!$X$15)</c:f>
              <c:numCache>
                <c:formatCode>General</c:formatCode>
                <c:ptCount val="2"/>
                <c:pt idx="0">
                  <c:v>18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E5-F448-A0F7-D898047AA539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(2)'!$K$16,'pre- and post- psych and ta (2)'!$X$16)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E5-F448-A0F7-D898047AA539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(2)'!$K$17,'pre- and post- psych and ta (2)'!$X$17)</c:f>
              <c:numCache>
                <c:formatCode>General</c:formatCode>
                <c:ptCount val="2"/>
                <c:pt idx="0">
                  <c:v>14</c:v>
                </c:pt>
                <c:pt idx="1">
                  <c:v>13.751633986928105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E5-F448-A0F7-D898047AA539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(2)'!$K$18,'pre- and post- psych and ta (2)'!$X$18)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E5-F448-A0F7-D898047AA539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(2)'!$K$19,'pre- and post- psych and ta (2)'!$X$19)</c:f>
              <c:numCache>
                <c:formatCode>General</c:formatCode>
                <c:ptCount val="2"/>
                <c:pt idx="0">
                  <c:v>14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E5-F448-A0F7-D898047AA539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(2)'!$K$1,'pre- and post- psych and ta (2)'!$X$1)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(2)'!$K$20,'pre- and post- psych and ta (2)'!$X$20)</c:f>
              <c:numCache>
                <c:formatCode>General</c:formatCode>
                <c:ptCount val="2"/>
                <c:pt idx="0">
                  <c:v>14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E5-F448-A0F7-D898047A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4227744"/>
        <c:axId val="1644391072"/>
      </c:lineChart>
      <c:catAx>
        <c:axId val="944227744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4391072"/>
        <c:crosses val="autoZero"/>
        <c:auto val="1"/>
        <c:lblAlgn val="ctr"/>
        <c:lblOffset val="100"/>
        <c:noMultiLvlLbl val="0"/>
      </c:catAx>
      <c:valAx>
        <c:axId val="1644391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442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EES_AF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(2)'!$J$2,'pre- and post- psych and ta (2)'!$W$2)</c:f>
              <c:numCache>
                <c:formatCode>General</c:formatCode>
                <c:ptCount val="2"/>
                <c:pt idx="0">
                  <c:v>24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3-F044-AA4B-62E9F4C8A8D6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(2)'!$J$3,'pre- and post- psych and ta (2)'!$W$3)</c:f>
              <c:numCache>
                <c:formatCode>General</c:formatCode>
                <c:ptCount val="2"/>
                <c:pt idx="0">
                  <c:v>23</c:v>
                </c:pt>
                <c:pt idx="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3-F044-AA4B-62E9F4C8A8D6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(2)'!$J$4,'pre- and post- psych and ta (2)'!$W$4)</c:f>
              <c:numCache>
                <c:formatCode>General</c:formatCode>
                <c:ptCount val="2"/>
                <c:pt idx="0">
                  <c:v>22</c:v>
                </c:pt>
                <c:pt idx="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3-F044-AA4B-62E9F4C8A8D6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(2)'!$J$5,'pre- and post- psych and ta (2)'!$W$5)</c:f>
              <c:numCache>
                <c:formatCode>General</c:formatCode>
                <c:ptCount val="2"/>
                <c:pt idx="0">
                  <c:v>24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F3-F044-AA4B-62E9F4C8A8D6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(2)'!$J$6,'pre- and post- psych and ta (2)'!$W$6)</c:f>
              <c:numCache>
                <c:formatCode>General</c:formatCode>
                <c:ptCount val="2"/>
                <c:pt idx="0">
                  <c:v>22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F3-F044-AA4B-62E9F4C8A8D6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(2)'!$J$7,'pre- and post- psych and ta (2)'!$W$7)</c:f>
              <c:numCache>
                <c:formatCode>General</c:formatCode>
                <c:ptCount val="2"/>
                <c:pt idx="0">
                  <c:v>24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F3-F044-AA4B-62E9F4C8A8D6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(2)'!$J$8,'pre- and post- psych and ta (2)'!$W$8)</c:f>
              <c:numCache>
                <c:formatCode>General</c:formatCode>
                <c:ptCount val="2"/>
                <c:pt idx="0">
                  <c:v>24</c:v>
                </c:pt>
                <c:pt idx="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F3-F044-AA4B-62E9F4C8A8D6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(2)'!$J$9,'pre- and post- psych and ta (2)'!$W$9)</c:f>
              <c:numCache>
                <c:formatCode>General</c:formatCode>
                <c:ptCount val="2"/>
                <c:pt idx="0">
                  <c:v>21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F3-F044-AA4B-62E9F4C8A8D6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(2)'!$J$10,'pre- and post- psych and ta (2)'!$W$10)</c:f>
              <c:numCache>
                <c:formatCode>General</c:formatCode>
                <c:ptCount val="2"/>
                <c:pt idx="0">
                  <c:v>23</c:v>
                </c:pt>
                <c:pt idx="1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F3-F044-AA4B-62E9F4C8A8D6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(2)'!$J$11,'pre- and post- psych and ta (2)'!$W$11)</c:f>
              <c:numCache>
                <c:formatCode>General</c:formatCode>
                <c:ptCount val="2"/>
                <c:pt idx="0">
                  <c:v>20</c:v>
                </c:pt>
                <c:pt idx="1">
                  <c:v>26.411764705882351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6F3-F044-AA4B-62E9F4C8A8D6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(2)'!$J$12,'pre- and post- psych and ta (2)'!$W$12)</c:f>
              <c:numCache>
                <c:formatCode>General</c:formatCode>
                <c:ptCount val="2"/>
                <c:pt idx="0">
                  <c:v>25</c:v>
                </c:pt>
                <c:pt idx="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F3-F044-AA4B-62E9F4C8A8D6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(2)'!$J$13,'pre- and post- psych and ta (2)'!$W$13)</c:f>
              <c:numCache>
                <c:formatCode>General</c:formatCode>
                <c:ptCount val="2"/>
                <c:pt idx="0">
                  <c:v>27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6F3-F044-AA4B-62E9F4C8A8D6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(2)'!$J$14,'pre- and post- psych and ta (2)'!$W$14)</c:f>
              <c:numCache>
                <c:formatCode>General</c:formatCode>
                <c:ptCount val="2"/>
                <c:pt idx="0">
                  <c:v>20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6F3-F044-AA4B-62E9F4C8A8D6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(2)'!$J$15,'pre- and post- psych and ta (2)'!$W$15)</c:f>
              <c:numCache>
                <c:formatCode>General</c:formatCode>
                <c:ptCount val="2"/>
                <c:pt idx="0">
                  <c:v>30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F3-F044-AA4B-62E9F4C8A8D6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(2)'!$J$16,'pre- and post- psych and ta (2)'!$W$16)</c:f>
              <c:numCache>
                <c:formatCode>General</c:formatCode>
                <c:ptCount val="2"/>
                <c:pt idx="0">
                  <c:v>32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F3-F044-AA4B-62E9F4C8A8D6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(2)'!$J$17,'pre- and post- psych and ta (2)'!$W$17)</c:f>
              <c:numCache>
                <c:formatCode>General</c:formatCode>
                <c:ptCount val="2"/>
                <c:pt idx="0">
                  <c:v>23</c:v>
                </c:pt>
                <c:pt idx="1">
                  <c:v>25.245098039215684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6F3-F044-AA4B-62E9F4C8A8D6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(2)'!$J$18,'pre- and post- psych and ta (2)'!$W$18)</c:f>
              <c:numCache>
                <c:formatCode>General</c:formatCode>
                <c:ptCount val="2"/>
                <c:pt idx="0">
                  <c:v>22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6F3-F044-AA4B-62E9F4C8A8D6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(2)'!$J$19,'pre- and post- psych and ta (2)'!$W$19)</c:f>
              <c:numCache>
                <c:formatCode>General</c:formatCode>
                <c:ptCount val="2"/>
                <c:pt idx="0">
                  <c:v>28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F3-F044-AA4B-62E9F4C8A8D6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(2)'!$J$1,'pre- and post- psych and ta (2)'!$W$1)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(2)'!$J$20,'pre- and post- psych and ta (2)'!$W$20)</c:f>
              <c:numCache>
                <c:formatCode>General</c:formatCode>
                <c:ptCount val="2"/>
                <c:pt idx="0">
                  <c:v>19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6F3-F044-AA4B-62E9F4C8A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7054656"/>
        <c:axId val="1406937824"/>
      </c:lineChart>
      <c:catAx>
        <c:axId val="140705465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6937824"/>
        <c:crosses val="autoZero"/>
        <c:auto val="1"/>
        <c:lblAlgn val="ctr"/>
        <c:lblOffset val="100"/>
        <c:noMultiLvlLbl val="0"/>
      </c:catAx>
      <c:valAx>
        <c:axId val="14069378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705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EES_ASC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(2)'!$L$2,'pre- and post- psych and ta (2)'!$Y$2)</c:f>
              <c:numCache>
                <c:formatCode>General</c:formatCode>
                <c:ptCount val="2"/>
                <c:pt idx="0">
                  <c:v>11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6-AE4F-9AA3-A31294454D37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(2)'!$L$3,'pre- and post- psych and ta (2)'!$Y$3)</c:f>
              <c:numCache>
                <c:formatCode>General</c:formatCode>
                <c:ptCount val="2"/>
                <c:pt idx="0">
                  <c:v>21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26-AE4F-9AA3-A31294454D37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(2)'!$L$4,'pre- and post- psych and ta (2)'!$Y$4)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6-AE4F-9AA3-A31294454D37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(2)'!$L$5,'pre- and post- psych and ta (2)'!$Y$5)</c:f>
              <c:numCache>
                <c:formatCode>General</c:formatCode>
                <c:ptCount val="2"/>
                <c:pt idx="0">
                  <c:v>19</c:v>
                </c:pt>
                <c:pt idx="1">
                  <c:v>19.705882352941178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26-AE4F-9AA3-A31294454D37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(2)'!$L$6,'pre- and post- psych and ta (2)'!$Y$6)</c:f>
              <c:numCache>
                <c:formatCode>General</c:formatCode>
                <c:ptCount val="2"/>
                <c:pt idx="0">
                  <c:v>22</c:v>
                </c:pt>
                <c:pt idx="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26-AE4F-9AA3-A31294454D37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(2)'!$L$7,'pre- and post- psych and ta (2)'!$Y$7)</c:f>
              <c:numCache>
                <c:formatCode>General</c:formatCode>
                <c:ptCount val="2"/>
                <c:pt idx="0">
                  <c:v>19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26-AE4F-9AA3-A31294454D37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(2)'!$L$8,'pre- and post- psych and ta (2)'!$Y$8)</c:f>
              <c:numCache>
                <c:formatCode>General</c:formatCode>
                <c:ptCount val="2"/>
                <c:pt idx="0">
                  <c:v>24</c:v>
                </c:pt>
                <c:pt idx="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26-AE4F-9AA3-A31294454D37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(2)'!$L$9,'pre- and post- psych and ta (2)'!$Y$9)</c:f>
              <c:numCache>
                <c:formatCode>General</c:formatCode>
                <c:ptCount val="2"/>
                <c:pt idx="0">
                  <c:v>18</c:v>
                </c:pt>
                <c:pt idx="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26-AE4F-9AA3-A31294454D37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(2)'!$L$10,'pre- and post- psych and ta (2)'!$Y$10)</c:f>
              <c:numCache>
                <c:formatCode>General</c:formatCode>
                <c:ptCount val="2"/>
                <c:pt idx="0">
                  <c:v>20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26-AE4F-9AA3-A31294454D37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(2)'!$L$11,'pre- and post- psych and ta (2)'!$Y$11)</c:f>
              <c:numCache>
                <c:formatCode>General</c:formatCode>
                <c:ptCount val="2"/>
                <c:pt idx="0">
                  <c:v>15</c:v>
                </c:pt>
                <c:pt idx="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26-AE4F-9AA3-A31294454D37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(2)'!$L$12,'pre- and post- psych and ta (2)'!$Y$12)</c:f>
              <c:numCache>
                <c:formatCode>General</c:formatCode>
                <c:ptCount val="2"/>
                <c:pt idx="0">
                  <c:v>28</c:v>
                </c:pt>
                <c:pt idx="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26-AE4F-9AA3-A31294454D37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(2)'!$L$13,'pre- and post- psych and ta (2)'!$Y$13)</c:f>
              <c:numCache>
                <c:formatCode>General</c:formatCode>
                <c:ptCount val="2"/>
                <c:pt idx="0">
                  <c:v>26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26-AE4F-9AA3-A31294454D37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(2)'!$L$14,'pre- and post- psych and ta (2)'!$Y$14)</c:f>
              <c:numCache>
                <c:formatCode>General</c:formatCode>
                <c:ptCount val="2"/>
                <c:pt idx="0">
                  <c:v>24</c:v>
                </c:pt>
                <c:pt idx="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26-AE4F-9AA3-A31294454D37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(2)'!$L$15,'pre- and post- psych and ta (2)'!$Y$15)</c:f>
              <c:numCache>
                <c:formatCode>General</c:formatCode>
                <c:ptCount val="2"/>
                <c:pt idx="0">
                  <c:v>24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226-AE4F-9AA3-A31294454D37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(2)'!$L$16,'pre- and post- psych and ta (2)'!$Y$16)</c:f>
              <c:numCache>
                <c:formatCode>General</c:formatCode>
                <c:ptCount val="2"/>
                <c:pt idx="0">
                  <c:v>28</c:v>
                </c:pt>
                <c:pt idx="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26-AE4F-9AA3-A31294454D37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(2)'!$L$17,'pre- and post- psych and ta (2)'!$Y$17)</c:f>
              <c:numCache>
                <c:formatCode>General</c:formatCode>
                <c:ptCount val="2"/>
                <c:pt idx="0">
                  <c:v>19</c:v>
                </c:pt>
                <c:pt idx="1">
                  <c:v>21.65032679738562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226-AE4F-9AA3-A31294454D37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(2)'!$L$18,'pre- and post- psych and ta (2)'!$Y$18)</c:f>
              <c:numCache>
                <c:formatCode>General</c:formatCode>
                <c:ptCount val="2"/>
                <c:pt idx="0">
                  <c:v>28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226-AE4F-9AA3-A31294454D37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(2)'!$L$19,'pre- and post- psych and ta (2)'!$Y$19)</c:f>
              <c:numCache>
                <c:formatCode>General</c:formatCode>
                <c:ptCount val="2"/>
                <c:pt idx="0">
                  <c:v>23.833333333333336</c:v>
                </c:pt>
                <c:pt idx="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226-AE4F-9AA3-A31294454D37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(2)'!$L$1,'pre- and post- psych and ta (2)'!$Y$1)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(2)'!$L$20,'pre- and post- psych and ta (2)'!$Y$20)</c:f>
              <c:numCache>
                <c:formatCode>General</c:formatCode>
                <c:ptCount val="2"/>
                <c:pt idx="0">
                  <c:v>16</c:v>
                </c:pt>
                <c:pt idx="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226-AE4F-9AA3-A31294454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0426816"/>
        <c:axId val="1690484368"/>
      </c:lineChart>
      <c:catAx>
        <c:axId val="169042681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0484368"/>
        <c:crosses val="autoZero"/>
        <c:auto val="1"/>
        <c:lblAlgn val="ctr"/>
        <c:lblOffset val="100"/>
        <c:noMultiLvlLbl val="0"/>
      </c:catAx>
      <c:valAx>
        <c:axId val="16904843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04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(2)'!$M$2,'pre- and post- psych and ta (2)'!$Z$2)</c:f>
              <c:numCache>
                <c:formatCode>General</c:formatCode>
                <c:ptCount val="2"/>
                <c:pt idx="0">
                  <c:v>6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C-0E44-8479-842D075A7277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(2)'!$M$3,'pre- and post- psych and ta (2)'!$Z$3)</c:f>
              <c:numCache>
                <c:formatCode>General</c:formatCode>
                <c:ptCount val="2"/>
                <c:pt idx="0">
                  <c:v>11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C-0E44-8479-842D075A7277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(2)'!$M$4,'pre- and post- psych and ta (2)'!$Z$4)</c:f>
              <c:numCache>
                <c:formatCode>General</c:formatCode>
                <c:ptCount val="2"/>
                <c:pt idx="0">
                  <c:v>8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CC-0E44-8479-842D075A7277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(2)'!$M$5,'pre- and post- psych and ta (2)'!$Z$5)</c:f>
              <c:numCache>
                <c:formatCode>General</c:formatCode>
                <c:ptCount val="2"/>
                <c:pt idx="0">
                  <c:v>11</c:v>
                </c:pt>
                <c:pt idx="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CC-0E44-8479-842D075A7277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(2)'!$M$6,'pre- and post- psych and ta (2)'!$Z$6)</c:f>
              <c:numCache>
                <c:formatCode>General</c:formatCode>
                <c:ptCount val="2"/>
                <c:pt idx="0">
                  <c:v>15</c:v>
                </c:pt>
                <c:pt idx="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CC-0E44-8479-842D075A7277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(2)'!$M$7,'pre- and post- psych and ta (2)'!$Z$7)</c:f>
              <c:numCache>
                <c:formatCode>General</c:formatCode>
                <c:ptCount val="2"/>
                <c:pt idx="0">
                  <c:v>13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CC-0E44-8479-842D075A7277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(2)'!$M$8,'pre- and post- psych and ta (2)'!$Z$8)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CC-0E44-8479-842D075A7277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(2)'!$M$9,'pre- and post- psych and ta (2)'!$Z$9)</c:f>
              <c:numCache>
                <c:formatCode>General</c:formatCode>
                <c:ptCount val="2"/>
                <c:pt idx="0">
                  <c:v>12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1CC-0E44-8479-842D075A7277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(2)'!$M$10,'pre- and post- psych and ta (2)'!$Z$10)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CC-0E44-8479-842D075A7277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(2)'!$M$11,'pre- and post- psych and ta (2)'!$Z$11)</c:f>
              <c:numCache>
                <c:formatCode>General</c:formatCode>
                <c:ptCount val="2"/>
                <c:pt idx="0">
                  <c:v>14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CC-0E44-8479-842D075A7277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(2)'!$M$12,'pre- and post- psych and ta (2)'!$Z$12)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CC-0E44-8479-842D075A7277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(2)'!$M$13,'pre- and post- psych and ta (2)'!$Z$13)</c:f>
              <c:numCache>
                <c:formatCode>General</c:formatCode>
                <c:ptCount val="2"/>
                <c:pt idx="0">
                  <c:v>15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1CC-0E44-8479-842D075A7277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(2)'!$M$14,'pre- and post- psych and ta (2)'!$Z$14)</c:f>
              <c:numCache>
                <c:formatCode>General</c:formatCode>
                <c:ptCount val="2"/>
                <c:pt idx="0">
                  <c:v>14</c:v>
                </c:pt>
                <c:pt idx="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1CC-0E44-8479-842D075A7277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(2)'!$M$15,'pre- and post- psych and ta (2)'!$Z$15)</c:f>
              <c:numCache>
                <c:formatCode>General</c:formatCode>
                <c:ptCount val="2"/>
                <c:pt idx="0">
                  <c:v>10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1CC-0E44-8479-842D075A7277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(2)'!$M$16,'pre- and post- psych and ta (2)'!$Z$16)</c:f>
              <c:numCache>
                <c:formatCode>General</c:formatCode>
                <c:ptCount val="2"/>
                <c:pt idx="0">
                  <c:v>14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1CC-0E44-8479-842D075A7277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(2)'!$M$17,'pre- and post- psych and ta (2)'!$Z$17)</c:f>
              <c:numCache>
                <c:formatCode>General</c:formatCode>
                <c:ptCount val="2"/>
                <c:pt idx="0">
                  <c:v>10</c:v>
                </c:pt>
                <c:pt idx="1">
                  <c:v>11.944444444444445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1CC-0E44-8479-842D075A7277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(2)'!$M$18,'pre- and post- psych and ta (2)'!$Z$18)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1CC-0E44-8479-842D075A7277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(2)'!$M$19,'pre- and post- psych and ta (2)'!$Z$19)</c:f>
              <c:numCache>
                <c:formatCode>General</c:formatCode>
                <c:ptCount val="2"/>
                <c:pt idx="0">
                  <c:v>9</c:v>
                </c:pt>
                <c:pt idx="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1CC-0E44-8479-842D075A7277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(2)'!$M$1,'pre- and post- psych and ta (2)'!$Z$1)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(2)'!$M$20,'pre- and post- psych and ta (2)'!$Z$20)</c:f>
              <c:numCache>
                <c:formatCode>General</c:formatCode>
                <c:ptCount val="2"/>
                <c:pt idx="0">
                  <c:v>6</c:v>
                </c:pt>
                <c:pt idx="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1CC-0E44-8479-842D075A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2024144"/>
        <c:axId val="1647920064"/>
      </c:lineChart>
      <c:catAx>
        <c:axId val="1462024144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47920064"/>
        <c:crosses val="autoZero"/>
        <c:auto val="1"/>
        <c:lblAlgn val="ctr"/>
        <c:lblOffset val="100"/>
        <c:noMultiLvlLbl val="0"/>
      </c:catAx>
      <c:valAx>
        <c:axId val="16479200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6202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EES_TOTAL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(2)'!$N$2,'pre- and post- psych and ta (2)'!$AA$2)</c:f>
              <c:numCache>
                <c:formatCode>General</c:formatCode>
                <c:ptCount val="2"/>
                <c:pt idx="0">
                  <c:v>81.583333333333343</c:v>
                </c:pt>
                <c:pt idx="1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2-1048-B1D3-93CD8941BE0E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(2)'!$N$3,'pre- and post- psych and ta (2)'!$AA$3)</c:f>
              <c:numCache>
                <c:formatCode>General</c:formatCode>
                <c:ptCount val="2"/>
                <c:pt idx="0">
                  <c:v>115</c:v>
                </c:pt>
                <c:pt idx="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2-1048-B1D3-93CD8941BE0E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(2)'!$N$4,'pre- and post- psych and ta (2)'!$AA$4)</c:f>
              <c:numCache>
                <c:formatCode>General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2-1048-B1D3-93CD8941BE0E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(2)'!$N$5,'pre- and post- psych and ta (2)'!$AA$5)</c:f>
              <c:numCache>
                <c:formatCode>General</c:formatCode>
                <c:ptCount val="2"/>
                <c:pt idx="0">
                  <c:v>115</c:v>
                </c:pt>
                <c:pt idx="1">
                  <c:v>109.70588235294117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A2-1048-B1D3-93CD8941BE0E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(2)'!$N$6,'pre- and post- psych and ta (2)'!$AA$6)</c:f>
              <c:numCache>
                <c:formatCode>General</c:formatCode>
                <c:ptCount val="2"/>
                <c:pt idx="0">
                  <c:v>115</c:v>
                </c:pt>
                <c:pt idx="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A2-1048-B1D3-93CD8941BE0E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(2)'!$N$7,'pre- and post- psych and ta (2)'!$AA$7)</c:f>
              <c:numCache>
                <c:formatCode>General</c:formatCode>
                <c:ptCount val="2"/>
                <c:pt idx="0">
                  <c:v>111</c:v>
                </c:pt>
                <c:pt idx="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A2-1048-B1D3-93CD8941BE0E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(2)'!$N$8,'pre- and post- psych and ta (2)'!$AA$8)</c:f>
              <c:numCache>
                <c:formatCode>General</c:formatCode>
                <c:ptCount val="2"/>
                <c:pt idx="0">
                  <c:v>110</c:v>
                </c:pt>
                <c:pt idx="1">
                  <c:v>118.52941176470588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A2-1048-B1D3-93CD8941BE0E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(2)'!$N$9,'pre- and post- psych and ta (2)'!$AA$9)</c:f>
              <c:numCache>
                <c:formatCode>General</c:formatCode>
                <c:ptCount val="2"/>
                <c:pt idx="0">
                  <c:v>104.20833333333334</c:v>
                </c:pt>
                <c:pt idx="1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A2-1048-B1D3-93CD8941BE0E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(2)'!$N$10,'pre- and post- psych and ta (2)'!$AA$10)</c:f>
              <c:numCache>
                <c:formatCode>General</c:formatCode>
                <c:ptCount val="2"/>
                <c:pt idx="0">
                  <c:v>115</c:v>
                </c:pt>
                <c:pt idx="1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A2-1048-B1D3-93CD8941BE0E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(2)'!$N$11,'pre- and post- psych and ta (2)'!$AA$11)</c:f>
              <c:numCache>
                <c:formatCode>General</c:formatCode>
                <c:ptCount val="2"/>
                <c:pt idx="0">
                  <c:v>113</c:v>
                </c:pt>
                <c:pt idx="1">
                  <c:v>123.41176470588235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A2-1048-B1D3-93CD8941BE0E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(2)'!$N$12,'pre- and post- psych and ta (2)'!$AA$12)</c:f>
              <c:numCache>
                <c:formatCode>General</c:formatCode>
                <c:ptCount val="2"/>
                <c:pt idx="0">
                  <c:v>137</c:v>
                </c:pt>
                <c:pt idx="1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A2-1048-B1D3-93CD8941BE0E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(2)'!$N$13,'pre- and post- psych and ta (2)'!$AA$13)</c:f>
              <c:numCache>
                <c:formatCode>General</c:formatCode>
                <c:ptCount val="2"/>
                <c:pt idx="0">
                  <c:v>128</c:v>
                </c:pt>
                <c:pt idx="1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A2-1048-B1D3-93CD8941BE0E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(2)'!$N$14,'pre- and post- psych and ta (2)'!$AA$14)</c:f>
              <c:numCache>
                <c:formatCode>General</c:formatCode>
                <c:ptCount val="2"/>
                <c:pt idx="0">
                  <c:v>122</c:v>
                </c:pt>
                <c:pt idx="1">
                  <c:v>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A2-1048-B1D3-93CD8941BE0E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(2)'!$N$15,'pre- and post- psych and ta (2)'!$AA$15)</c:f>
              <c:numCache>
                <c:formatCode>General</c:formatCode>
                <c:ptCount val="2"/>
                <c:pt idx="0">
                  <c:v>124</c:v>
                </c:pt>
                <c:pt idx="1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A2-1048-B1D3-93CD8941BE0E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(2)'!$N$16,'pre- and post- psych and ta (2)'!$AA$16)</c:f>
              <c:numCache>
                <c:formatCode>General</c:formatCode>
                <c:ptCount val="2"/>
                <c:pt idx="0">
                  <c:v>149</c:v>
                </c:pt>
                <c:pt idx="1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A2-1048-B1D3-93CD8941BE0E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(2)'!$N$17,'pre- and post- psych and ta (2)'!$AA$17)</c:f>
              <c:numCache>
                <c:formatCode>General</c:formatCode>
                <c:ptCount val="2"/>
                <c:pt idx="0">
                  <c:v>96</c:v>
                </c:pt>
                <c:pt idx="1">
                  <c:v>119.03594771241832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A2-1048-B1D3-93CD8941BE0E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(2)'!$N$18,'pre- and post- psych and ta (2)'!$AA$18)</c:f>
              <c:numCache>
                <c:formatCode>General</c:formatCode>
                <c:ptCount val="2"/>
                <c:pt idx="0">
                  <c:v>105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A2-1048-B1D3-93CD8941BE0E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(2)'!$N$19,'pre- and post- psych and ta (2)'!$AA$19)</c:f>
              <c:numCache>
                <c:formatCode>General</c:formatCode>
                <c:ptCount val="2"/>
                <c:pt idx="0">
                  <c:v>113.83333333333334</c:v>
                </c:pt>
                <c:pt idx="1">
                  <c:v>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A2-1048-B1D3-93CD8941BE0E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(2)'!$N$1,'pre- and post- psych and ta (2)'!$AA$1)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(2)'!$N$20,'pre- and post- psych and ta (2)'!$AA$20)</c:f>
              <c:numCache>
                <c:formatCode>General</c:formatCode>
                <c:ptCount val="2"/>
                <c:pt idx="0">
                  <c:v>83</c:v>
                </c:pt>
                <c:pt idx="1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A2-1048-B1D3-93CD8941B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4055952"/>
        <c:axId val="1690884976"/>
      </c:lineChart>
      <c:catAx>
        <c:axId val="1714055952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90884976"/>
        <c:crosses val="autoZero"/>
        <c:auto val="1"/>
        <c:lblAlgn val="ctr"/>
        <c:lblOffset val="100"/>
        <c:noMultiLvlLbl val="0"/>
      </c:catAx>
      <c:valAx>
        <c:axId val="16908849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405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'pre- and post- psych and ta (2)'!$A$2</c:f>
              <c:strCache>
                <c:ptCount val="1"/>
                <c:pt idx="0">
                  <c:v> 724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(2)'!$O$2,'pre- and post- psych and ta (2)'!$AB$2)</c:f>
              <c:numCache>
                <c:formatCode>General</c:formatCode>
                <c:ptCount val="2"/>
                <c:pt idx="0">
                  <c:v>2.8</c:v>
                </c:pt>
                <c:pt idx="1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7-454C-8DD4-F94DBB8B6ABD}"/>
            </c:ext>
          </c:extLst>
        </c:ser>
        <c:ser>
          <c:idx val="1"/>
          <c:order val="1"/>
          <c:tx>
            <c:strRef>
              <c:f>'pre- and post- psych and ta (2)'!$A$3</c:f>
              <c:strCache>
                <c:ptCount val="1"/>
                <c:pt idx="0">
                  <c:v>122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(2)'!$O$3,'pre- and post- psych and ta (2)'!$AB$3)</c:f>
              <c:numCache>
                <c:formatCode>General</c:formatCode>
                <c:ptCount val="2"/>
                <c:pt idx="0">
                  <c:v>3.5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7-454C-8DD4-F94DBB8B6ABD}"/>
            </c:ext>
          </c:extLst>
        </c:ser>
        <c:ser>
          <c:idx val="2"/>
          <c:order val="2"/>
          <c:tx>
            <c:strRef>
              <c:f>'pre- and post- psych and ta (2)'!$A$4</c:f>
              <c:strCache>
                <c:ptCount val="1"/>
                <c:pt idx="0">
                  <c:v>123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(2)'!$O$4,'pre- and post- psych and ta (2)'!$AB$4)</c:f>
              <c:numCache>
                <c:formatCode>General</c:formatCode>
                <c:ptCount val="2"/>
                <c:pt idx="0">
                  <c:v>2.7</c:v>
                </c:pt>
                <c:pt idx="1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7-454C-8DD4-F94DBB8B6ABD}"/>
            </c:ext>
          </c:extLst>
        </c:ser>
        <c:ser>
          <c:idx val="3"/>
          <c:order val="3"/>
          <c:tx>
            <c:strRef>
              <c:f>'pre- and post- psych and ta (2)'!$A$5</c:f>
              <c:strCache>
                <c:ptCount val="1"/>
                <c:pt idx="0">
                  <c:v>129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(2)'!$O$5,'pre- and post- psych and ta (2)'!$AB$5)</c:f>
              <c:numCache>
                <c:formatCode>General</c:formatCode>
                <c:ptCount val="2"/>
                <c:pt idx="0">
                  <c:v>3.2</c:v>
                </c:pt>
                <c:pt idx="1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97-454C-8DD4-F94DBB8B6ABD}"/>
            </c:ext>
          </c:extLst>
        </c:ser>
        <c:ser>
          <c:idx val="4"/>
          <c:order val="4"/>
          <c:tx>
            <c:strRef>
              <c:f>'pre- and post- psych and ta (2)'!$A$6</c:f>
              <c:strCache>
                <c:ptCount val="1"/>
                <c:pt idx="0">
                  <c:v>172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(2)'!$O$6,'pre- and post- psych and ta (2)'!$AB$6)</c:f>
              <c:numCache>
                <c:formatCode>General</c:formatCode>
                <c:ptCount val="2"/>
                <c:pt idx="0">
                  <c:v>3.8</c:v>
                </c:pt>
                <c:pt idx="1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97-454C-8DD4-F94DBB8B6ABD}"/>
            </c:ext>
          </c:extLst>
        </c:ser>
        <c:ser>
          <c:idx val="5"/>
          <c:order val="5"/>
          <c:tx>
            <c:strRef>
              <c:f>'pre- and post- psych and ta (2)'!$A$7</c:f>
              <c:strCache>
                <c:ptCount val="1"/>
                <c:pt idx="0">
                  <c:v>267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(2)'!$O$7,'pre- and post- psych and ta (2)'!$AB$7)</c:f>
              <c:numCache>
                <c:formatCode>General</c:formatCode>
                <c:ptCount val="2"/>
                <c:pt idx="0">
                  <c:v>3.5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97-454C-8DD4-F94DBB8B6ABD}"/>
            </c:ext>
          </c:extLst>
        </c:ser>
        <c:ser>
          <c:idx val="6"/>
          <c:order val="6"/>
          <c:tx>
            <c:strRef>
              <c:f>'pre- and post- psych and ta (2)'!$A$8</c:f>
              <c:strCache>
                <c:ptCount val="1"/>
                <c:pt idx="0">
                  <c:v>270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(2)'!$O$8,'pre- and post- psych and ta (2)'!$AB$8)</c:f>
              <c:numCache>
                <c:formatCode>General</c:formatCode>
                <c:ptCount val="2"/>
                <c:pt idx="0">
                  <c:v>3.1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97-454C-8DD4-F94DBB8B6ABD}"/>
            </c:ext>
          </c:extLst>
        </c:ser>
        <c:ser>
          <c:idx val="7"/>
          <c:order val="7"/>
          <c:tx>
            <c:strRef>
              <c:f>'pre- and post- psych and ta (2)'!$A$9</c:f>
              <c:strCache>
                <c:ptCount val="1"/>
                <c:pt idx="0">
                  <c:v>290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(2)'!$O$9,'pre- and post- psych and ta (2)'!$AB$9)</c:f>
              <c:numCache>
                <c:formatCode>General</c:formatCode>
                <c:ptCount val="2"/>
                <c:pt idx="0">
                  <c:v>3.5</c:v>
                </c:pt>
                <c:pt idx="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97-454C-8DD4-F94DBB8B6ABD}"/>
            </c:ext>
          </c:extLst>
        </c:ser>
        <c:ser>
          <c:idx val="8"/>
          <c:order val="8"/>
          <c:tx>
            <c:strRef>
              <c:f>'pre- and post- psych and ta (2)'!$A$10</c:f>
              <c:strCache>
                <c:ptCount val="1"/>
                <c:pt idx="0">
                  <c:v>296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(2)'!$O$10,'pre- and post- psych and ta (2)'!$AB$10)</c:f>
              <c:numCache>
                <c:formatCode>General</c:formatCode>
                <c:ptCount val="2"/>
                <c:pt idx="0">
                  <c:v>3.2</c:v>
                </c:pt>
                <c:pt idx="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97-454C-8DD4-F94DBB8B6ABD}"/>
            </c:ext>
          </c:extLst>
        </c:ser>
        <c:ser>
          <c:idx val="9"/>
          <c:order val="9"/>
          <c:tx>
            <c:strRef>
              <c:f>'pre- and post- psych and ta (2)'!$A$11</c:f>
              <c:strCache>
                <c:ptCount val="1"/>
                <c:pt idx="0">
                  <c:v>298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(2)'!$O$11,'pre- and post- psych and ta (2)'!$AB$11)</c:f>
              <c:numCache>
                <c:formatCode>General</c:formatCode>
                <c:ptCount val="2"/>
                <c:pt idx="0">
                  <c:v>3.5</c:v>
                </c:pt>
                <c:pt idx="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97-454C-8DD4-F94DBB8B6ABD}"/>
            </c:ext>
          </c:extLst>
        </c:ser>
        <c:ser>
          <c:idx val="10"/>
          <c:order val="10"/>
          <c:tx>
            <c:strRef>
              <c:f>'pre- and post- psych and ta (2)'!$A$12</c:f>
              <c:strCache>
                <c:ptCount val="1"/>
                <c:pt idx="0">
                  <c:v>415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(2)'!$O$12,'pre- and post- psych and ta (2)'!$AB$12)</c:f>
              <c:numCache>
                <c:formatCode>General</c:formatCode>
                <c:ptCount val="2"/>
                <c:pt idx="0">
                  <c:v>4.0999999999999996</c:v>
                </c:pt>
                <c:pt idx="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B97-454C-8DD4-F94DBB8B6ABD}"/>
            </c:ext>
          </c:extLst>
        </c:ser>
        <c:ser>
          <c:idx val="11"/>
          <c:order val="11"/>
          <c:tx>
            <c:strRef>
              <c:f>'pre- and post- psych and ta (2)'!$A$13</c:f>
              <c:strCache>
                <c:ptCount val="1"/>
                <c:pt idx="0">
                  <c:v>417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(2)'!$O$13,'pre- and post- psych and ta (2)'!$AB$13)</c:f>
              <c:numCache>
                <c:formatCode>General</c:formatCode>
                <c:ptCount val="2"/>
                <c:pt idx="0">
                  <c:v>3.7</c:v>
                </c:pt>
                <c:pt idx="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97-454C-8DD4-F94DBB8B6ABD}"/>
            </c:ext>
          </c:extLst>
        </c:ser>
        <c:ser>
          <c:idx val="12"/>
          <c:order val="12"/>
          <c:tx>
            <c:strRef>
              <c:f>'pre- and post- psych and ta (2)'!$A$14</c:f>
              <c:strCache>
                <c:ptCount val="1"/>
                <c:pt idx="0">
                  <c:v>478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(2)'!$O$14,'pre- and post- psych and ta (2)'!$AB$14)</c:f>
              <c:numCache>
                <c:formatCode>General</c:formatCode>
                <c:ptCount val="2"/>
                <c:pt idx="0">
                  <c:v>3.5</c:v>
                </c:pt>
                <c:pt idx="1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97-454C-8DD4-F94DBB8B6ABD}"/>
            </c:ext>
          </c:extLst>
        </c:ser>
        <c:ser>
          <c:idx val="13"/>
          <c:order val="13"/>
          <c:tx>
            <c:strRef>
              <c:f>'pre- and post- psych and ta (2)'!$A$15</c:f>
              <c:strCache>
                <c:ptCount val="1"/>
                <c:pt idx="0">
                  <c:v>589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(2)'!$O$15,'pre- and post- psych and ta (2)'!$AB$15)</c:f>
              <c:numCache>
                <c:formatCode>General</c:formatCode>
                <c:ptCount val="2"/>
                <c:pt idx="0">
                  <c:v>3.5</c:v>
                </c:pt>
                <c:pt idx="1">
                  <c:v>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B97-454C-8DD4-F94DBB8B6ABD}"/>
            </c:ext>
          </c:extLst>
        </c:ser>
        <c:ser>
          <c:idx val="14"/>
          <c:order val="14"/>
          <c:tx>
            <c:strRef>
              <c:f>'pre- and post- psych and ta (2)'!$A$16</c:f>
              <c:strCache>
                <c:ptCount val="1"/>
                <c:pt idx="0">
                  <c:v>612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(2)'!$O$16,'pre- and post- psych and ta (2)'!$AB$16)</c:f>
              <c:numCache>
                <c:formatCode>General</c:formatCode>
                <c:ptCount val="2"/>
                <c:pt idx="0">
                  <c:v>4.5999999999999996</c:v>
                </c:pt>
                <c:pt idx="1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B97-454C-8DD4-F94DBB8B6ABD}"/>
            </c:ext>
          </c:extLst>
        </c:ser>
        <c:ser>
          <c:idx val="15"/>
          <c:order val="15"/>
          <c:tx>
            <c:strRef>
              <c:f>'pre- and post- psych and ta (2)'!$A$17</c:f>
              <c:strCache>
                <c:ptCount val="1"/>
                <c:pt idx="0">
                  <c:v>638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(2)'!$O$17,'pre- and post- psych and ta (2)'!$AB$17)</c:f>
              <c:numCache>
                <c:formatCode>General</c:formatCode>
                <c:ptCount val="2"/>
                <c:pt idx="0">
                  <c:v>2.2999999999999998</c:v>
                </c:pt>
                <c:pt idx="1">
                  <c:v>3.5500000000000003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B97-454C-8DD4-F94DBB8B6ABD}"/>
            </c:ext>
          </c:extLst>
        </c:ser>
        <c:ser>
          <c:idx val="16"/>
          <c:order val="16"/>
          <c:tx>
            <c:strRef>
              <c:f>'pre- and post- psych and ta (2)'!$A$18</c:f>
              <c:strCache>
                <c:ptCount val="1"/>
                <c:pt idx="0">
                  <c:v>781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(2)'!$O$18,'pre- and post- psych and ta (2)'!$AB$18)</c:f>
              <c:numCache>
                <c:formatCode>General</c:formatCode>
                <c:ptCount val="2"/>
                <c:pt idx="0">
                  <c:v>3.5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B97-454C-8DD4-F94DBB8B6ABD}"/>
            </c:ext>
          </c:extLst>
        </c:ser>
        <c:ser>
          <c:idx val="17"/>
          <c:order val="17"/>
          <c:tx>
            <c:strRef>
              <c:f>'pre- and post- psych and ta (2)'!$A$19</c:f>
              <c:strCache>
                <c:ptCount val="1"/>
                <c:pt idx="0">
                  <c:v>794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(2)'!$O$19,'pre- and post- psych and ta (2)'!$AB$19)</c:f>
              <c:numCache>
                <c:formatCode>General</c:formatCode>
                <c:ptCount val="2"/>
                <c:pt idx="0">
                  <c:v>2.6</c:v>
                </c:pt>
                <c:pt idx="1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97-454C-8DD4-F94DBB8B6ABD}"/>
            </c:ext>
          </c:extLst>
        </c:ser>
        <c:ser>
          <c:idx val="18"/>
          <c:order val="18"/>
          <c:tx>
            <c:strRef>
              <c:f>'pre- and post- psych and ta (2)'!$A$20</c:f>
              <c:strCache>
                <c:ptCount val="1"/>
                <c:pt idx="0">
                  <c:v>809</c:v>
                </c:pt>
              </c:strCache>
            </c:strRef>
          </c:tx>
          <c:spPr>
            <a:ln w="28575" cap="rnd">
              <a:solidFill>
                <a:srgbClr val="F4E99D"/>
              </a:solidFill>
              <a:round/>
            </a:ln>
            <a:effectLst/>
          </c:spPr>
          <c:marker>
            <c:symbol val="none"/>
          </c:marker>
          <c:cat>
            <c:strRef>
              <c:f>('pre- and post- psych and ta (2)'!$O$1,'pre- and post- psych and ta (2)'!$AB$1)</c:f>
              <c:strCache>
                <c:ptCount val="2"/>
                <c:pt idx="0">
                  <c:v>Baseline</c:v>
                </c:pt>
                <c:pt idx="1">
                  <c:v>Post-Intervention</c:v>
                </c:pt>
              </c:strCache>
            </c:strRef>
          </c:cat>
          <c:val>
            <c:numRef>
              <c:f>('pre- and post- psych and ta (2)'!$O$20,'pre- and post- psych and ta (2)'!$AB$20)</c:f>
              <c:numCache>
                <c:formatCode>General</c:formatCode>
                <c:ptCount val="2"/>
                <c:pt idx="0">
                  <c:v>3.2</c:v>
                </c:pt>
                <c:pt idx="1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B97-454C-8DD4-F94DBB8B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000736"/>
        <c:axId val="1715026768"/>
      </c:lineChart>
      <c:catAx>
        <c:axId val="1715000736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026768"/>
        <c:crosses val="autoZero"/>
        <c:auto val="1"/>
        <c:lblAlgn val="ctr"/>
        <c:lblOffset val="100"/>
        <c:noMultiLvlLbl val="0"/>
      </c:catAx>
      <c:valAx>
        <c:axId val="171502676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1500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344271</xdr:colOff>
      <xdr:row>24</xdr:row>
      <xdr:rowOff>137297</xdr:rowOff>
    </xdr:from>
    <xdr:to>
      <xdr:col>15</xdr:col>
      <xdr:colOff>509373</xdr:colOff>
      <xdr:row>49</xdr:row>
      <xdr:rowOff>18992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461728D-1785-895C-84C5-EDE54EFA4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799254</xdr:colOff>
      <xdr:row>30</xdr:row>
      <xdr:rowOff>84668</xdr:rowOff>
    </xdr:from>
    <xdr:to>
      <xdr:col>11</xdr:col>
      <xdr:colOff>567266</xdr:colOff>
      <xdr:row>49</xdr:row>
      <xdr:rowOff>20321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60B7C9-19F7-2C46-BD34-E19558960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49389</xdr:colOff>
      <xdr:row>36</xdr:row>
      <xdr:rowOff>158043</xdr:rowOff>
    </xdr:from>
    <xdr:to>
      <xdr:col>28</xdr:col>
      <xdr:colOff>635000</xdr:colOff>
      <xdr:row>56</xdr:row>
      <xdr:rowOff>70555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DA303FB-815D-284F-AECB-2B4093C41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184856</xdr:colOff>
      <xdr:row>61</xdr:row>
      <xdr:rowOff>91721</xdr:rowOff>
    </xdr:from>
    <xdr:to>
      <xdr:col>28</xdr:col>
      <xdr:colOff>649111</xdr:colOff>
      <xdr:row>80</xdr:row>
      <xdr:rowOff>197555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C198E2-557D-0141-9269-443DE478F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12700</xdr:colOff>
      <xdr:row>12</xdr:row>
      <xdr:rowOff>190500</xdr:rowOff>
    </xdr:from>
    <xdr:to>
      <xdr:col>34</xdr:col>
      <xdr:colOff>393700</xdr:colOff>
      <xdr:row>33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489578-91C0-7646-AF5C-0C91E584D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701321</xdr:colOff>
      <xdr:row>44</xdr:row>
      <xdr:rowOff>14112</xdr:rowOff>
    </xdr:from>
    <xdr:to>
      <xdr:col>36</xdr:col>
      <xdr:colOff>197555</xdr:colOff>
      <xdr:row>61</xdr:row>
      <xdr:rowOff>179211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EFCB74-97ED-954A-80AF-5042F8DFB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278901</xdr:colOff>
      <xdr:row>63</xdr:row>
      <xdr:rowOff>155222</xdr:rowOff>
    </xdr:from>
    <xdr:to>
      <xdr:col>36</xdr:col>
      <xdr:colOff>254000</xdr:colOff>
      <xdr:row>81</xdr:row>
      <xdr:rowOff>138123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A6C459-B6CB-EE4F-986E-63100822D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283051</xdr:colOff>
      <xdr:row>83</xdr:row>
      <xdr:rowOff>128327</xdr:rowOff>
    </xdr:from>
    <xdr:to>
      <xdr:col>36</xdr:col>
      <xdr:colOff>197555</xdr:colOff>
      <xdr:row>103</xdr:row>
      <xdr:rowOff>183445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15443E5-A613-4F45-9374-AB64A9EFB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615078</xdr:colOff>
      <xdr:row>14</xdr:row>
      <xdr:rowOff>56445</xdr:rowOff>
    </xdr:from>
    <xdr:to>
      <xdr:col>41</xdr:col>
      <xdr:colOff>268110</xdr:colOff>
      <xdr:row>33</xdr:row>
      <xdr:rowOff>138954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ACFFBB8-A56B-8B43-8D8D-FBC1B8F728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681482</xdr:colOff>
      <xdr:row>38</xdr:row>
      <xdr:rowOff>42334</xdr:rowOff>
    </xdr:from>
    <xdr:to>
      <xdr:col>43</xdr:col>
      <xdr:colOff>578555</xdr:colOff>
      <xdr:row>60</xdr:row>
      <xdr:rowOff>14112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A28007-B657-E045-B4BA-EAA96E9B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677333</xdr:colOff>
      <xdr:row>61</xdr:row>
      <xdr:rowOff>84667</xdr:rowOff>
    </xdr:from>
    <xdr:to>
      <xdr:col>43</xdr:col>
      <xdr:colOff>352778</xdr:colOff>
      <xdr:row>80</xdr:row>
      <xdr:rowOff>141112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D5D7350-DFBE-3A47-B297-C8C859D82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553653</xdr:colOff>
      <xdr:row>83</xdr:row>
      <xdr:rowOff>155222</xdr:rowOff>
    </xdr:from>
    <xdr:to>
      <xdr:col>43</xdr:col>
      <xdr:colOff>352778</xdr:colOff>
      <xdr:row>103</xdr:row>
      <xdr:rowOff>170497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D6330A5-25D6-0146-AF3F-7970636A4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42</xdr:col>
      <xdr:colOff>71385</xdr:colOff>
      <xdr:row>13</xdr:row>
      <xdr:rowOff>183445</xdr:rowOff>
    </xdr:from>
    <xdr:to>
      <xdr:col>49</xdr:col>
      <xdr:colOff>155222</xdr:colOff>
      <xdr:row>35</xdr:row>
      <xdr:rowOff>96620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562F79-AA6A-0D44-986F-6F7902BAE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597646</xdr:colOff>
      <xdr:row>61</xdr:row>
      <xdr:rowOff>57772</xdr:rowOff>
    </xdr:from>
    <xdr:to>
      <xdr:col>50</xdr:col>
      <xdr:colOff>70554</xdr:colOff>
      <xdr:row>80</xdr:row>
      <xdr:rowOff>155223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9168B24-B596-B345-92A9-D4479BC12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1D08-9503-6441-87B0-D7BC229A1D56}">
  <dimension ref="A1:Q30"/>
  <sheetViews>
    <sheetView tabSelected="1" zoomScale="111" zoomScaleNormal="100" workbookViewId="0">
      <selection activeCell="P2" sqref="P2"/>
    </sheetView>
  </sheetViews>
  <sheetFormatPr baseColWidth="10" defaultColWidth="11.5" defaultRowHeight="15" x14ac:dyDescent="0.2"/>
  <cols>
    <col min="6" max="6" width="12.6640625" customWidth="1"/>
    <col min="7" max="8" width="13.83203125" customWidth="1"/>
    <col min="9" max="10" width="16.83203125" customWidth="1"/>
    <col min="11" max="11" width="18.5" customWidth="1"/>
    <col min="12" max="12" width="18" customWidth="1"/>
    <col min="13" max="13" width="16" customWidth="1"/>
    <col min="14" max="14" width="16.83203125" customWidth="1"/>
    <col min="15" max="15" width="16.33203125" customWidth="1"/>
    <col min="16" max="16" width="17.1640625" customWidth="1"/>
    <col min="18" max="18" width="22" customWidth="1"/>
    <col min="19" max="19" width="21.33203125" customWidth="1"/>
    <col min="20" max="20" width="22" customWidth="1"/>
  </cols>
  <sheetData>
    <row r="1" spans="1:17" s="3" customFormat="1" x14ac:dyDescent="0.2">
      <c r="A1" s="3" t="s">
        <v>0</v>
      </c>
      <c r="B1" s="3" t="s">
        <v>42</v>
      </c>
      <c r="C1" s="3" t="s">
        <v>47</v>
      </c>
      <c r="D1" s="3" t="s">
        <v>40</v>
      </c>
      <c r="E1" s="3" t="s">
        <v>41</v>
      </c>
      <c r="F1" s="3" t="s">
        <v>50</v>
      </c>
      <c r="G1" s="3" t="s">
        <v>51</v>
      </c>
      <c r="H1" s="3" t="s">
        <v>54</v>
      </c>
      <c r="I1" s="3" t="s">
        <v>43</v>
      </c>
      <c r="J1" s="3" t="s">
        <v>44</v>
      </c>
      <c r="K1" s="16" t="s">
        <v>45</v>
      </c>
      <c r="L1" s="16" t="s">
        <v>46</v>
      </c>
      <c r="M1" s="3" t="s">
        <v>48</v>
      </c>
      <c r="N1" s="3" t="s">
        <v>49</v>
      </c>
      <c r="O1" s="3" t="s">
        <v>53</v>
      </c>
      <c r="P1" s="18" t="s">
        <v>52</v>
      </c>
      <c r="Q1" s="7"/>
    </row>
    <row r="2" spans="1:17" x14ac:dyDescent="0.2">
      <c r="A2" s="15">
        <v>724</v>
      </c>
      <c r="B2" s="15">
        <v>11</v>
      </c>
      <c r="C2" s="15">
        <f>B2/12</f>
        <v>0.91666666666666663</v>
      </c>
      <c r="D2" s="4">
        <v>4.7</v>
      </c>
      <c r="E2" s="2">
        <v>6</v>
      </c>
      <c r="F2">
        <f>SUM(D2:D20)/19</f>
        <v>4.3631578947368421</v>
      </c>
      <c r="G2">
        <f>SUM(E2:E20)/19</f>
        <v>4.1315789473684204</v>
      </c>
      <c r="H2">
        <v>-0.19800000000000001</v>
      </c>
      <c r="I2" s="4">
        <v>4.7</v>
      </c>
      <c r="J2" s="2">
        <v>6</v>
      </c>
      <c r="K2" s="4">
        <v>3.3</v>
      </c>
      <c r="L2" s="2">
        <v>2.7</v>
      </c>
      <c r="M2">
        <f>SUM(I2:I5,I6,I7,I8,I9:I10)/9</f>
        <v>4.1666666666666679</v>
      </c>
      <c r="N2">
        <f>SUM(J2:J5,J6,J7,J8,J9:J10)/9</f>
        <v>5.0888888888888895</v>
      </c>
      <c r="O2" s="17">
        <f>SUM(K2:K7,K8,K9:K10,K11)/10</f>
        <v>4.5</v>
      </c>
      <c r="P2" s="17">
        <f>SUM(L2:L7,L8,L9:L10,L11)/10</f>
        <v>3.2700000000000005</v>
      </c>
      <c r="Q2" s="17"/>
    </row>
    <row r="3" spans="1:17" x14ac:dyDescent="0.2">
      <c r="A3" s="15">
        <v>122</v>
      </c>
      <c r="B3" s="15">
        <v>11</v>
      </c>
      <c r="C3" s="15">
        <f t="shared" ref="C3:C20" si="0">B3/12</f>
        <v>0.91666666666666663</v>
      </c>
      <c r="D3" s="4">
        <v>3.5</v>
      </c>
      <c r="E3" s="2">
        <v>4.9000000000000004</v>
      </c>
      <c r="I3" s="4">
        <v>3.5</v>
      </c>
      <c r="J3" s="2">
        <v>4.9000000000000004</v>
      </c>
      <c r="K3" s="4">
        <v>4.9000000000000004</v>
      </c>
      <c r="L3" s="2">
        <v>3.3</v>
      </c>
      <c r="O3" s="17"/>
      <c r="P3" s="17"/>
      <c r="Q3" s="17"/>
    </row>
    <row r="4" spans="1:17" x14ac:dyDescent="0.2">
      <c r="A4" s="15">
        <v>123</v>
      </c>
      <c r="B4" s="15">
        <v>9</v>
      </c>
      <c r="C4" s="15">
        <f t="shared" si="0"/>
        <v>0.75</v>
      </c>
      <c r="D4" s="4">
        <v>4.3</v>
      </c>
      <c r="E4" s="2">
        <v>4.5999999999999996</v>
      </c>
      <c r="I4" s="4">
        <v>4.3</v>
      </c>
      <c r="J4" s="2">
        <v>4.5999999999999996</v>
      </c>
      <c r="K4" s="4">
        <v>5</v>
      </c>
      <c r="L4" s="2">
        <v>3.1</v>
      </c>
      <c r="O4" s="17"/>
      <c r="P4" s="17"/>
    </row>
    <row r="5" spans="1:17" x14ac:dyDescent="0.2">
      <c r="A5" s="15">
        <v>129</v>
      </c>
      <c r="B5" s="15">
        <v>10</v>
      </c>
      <c r="C5" s="15">
        <f t="shared" si="0"/>
        <v>0.83333333333333337</v>
      </c>
      <c r="D5" s="4">
        <v>5</v>
      </c>
      <c r="E5" s="2">
        <v>5.5</v>
      </c>
      <c r="I5" s="4">
        <v>4.5999999999999996</v>
      </c>
      <c r="J5" s="2">
        <v>5.5</v>
      </c>
      <c r="K5" s="4">
        <v>5.0999999999999996</v>
      </c>
      <c r="L5" s="2">
        <v>4.3</v>
      </c>
      <c r="O5" s="17"/>
      <c r="P5" s="17"/>
      <c r="Q5" s="17"/>
    </row>
    <row r="6" spans="1:17" x14ac:dyDescent="0.2">
      <c r="A6" s="15">
        <v>172</v>
      </c>
      <c r="B6" s="15">
        <v>3</v>
      </c>
      <c r="C6" s="15">
        <f t="shared" si="0"/>
        <v>0.25</v>
      </c>
      <c r="D6" s="4">
        <v>3.3</v>
      </c>
      <c r="E6" s="2">
        <v>2.7</v>
      </c>
      <c r="I6" s="4">
        <v>3.6</v>
      </c>
      <c r="J6" s="2">
        <v>4.3</v>
      </c>
      <c r="K6" s="4">
        <v>5</v>
      </c>
      <c r="L6" s="2">
        <v>3.8</v>
      </c>
      <c r="O6" s="17"/>
      <c r="P6" s="17"/>
    </row>
    <row r="7" spans="1:17" x14ac:dyDescent="0.2">
      <c r="A7" s="15">
        <v>267</v>
      </c>
      <c r="B7" s="15">
        <v>3</v>
      </c>
      <c r="C7" s="15">
        <f t="shared" si="0"/>
        <v>0.25</v>
      </c>
      <c r="D7" s="4">
        <v>4.9000000000000004</v>
      </c>
      <c r="E7" s="2">
        <v>3.3</v>
      </c>
      <c r="I7" s="5">
        <v>4</v>
      </c>
      <c r="J7" s="2">
        <v>4.4000000000000004</v>
      </c>
      <c r="K7" s="4">
        <v>2.9</v>
      </c>
      <c r="L7" s="2">
        <v>2.2999999999999998</v>
      </c>
      <c r="O7" s="17"/>
      <c r="P7" s="17"/>
      <c r="Q7" s="17"/>
    </row>
    <row r="8" spans="1:17" x14ac:dyDescent="0.2">
      <c r="A8" s="15">
        <v>270</v>
      </c>
      <c r="B8" s="15">
        <v>4</v>
      </c>
      <c r="C8" s="15">
        <f t="shared" si="0"/>
        <v>0.33333333333333331</v>
      </c>
      <c r="D8" s="4">
        <v>5</v>
      </c>
      <c r="E8" s="2">
        <v>3.1</v>
      </c>
      <c r="I8" s="4">
        <v>4.7</v>
      </c>
      <c r="J8" s="2">
        <v>5.8</v>
      </c>
      <c r="K8" s="4">
        <v>4.8</v>
      </c>
      <c r="L8" s="2">
        <v>3.8</v>
      </c>
      <c r="O8" s="17"/>
      <c r="P8" s="17"/>
      <c r="Q8" s="17"/>
    </row>
    <row r="9" spans="1:17" x14ac:dyDescent="0.2">
      <c r="A9" s="15">
        <v>290</v>
      </c>
      <c r="B9" s="15">
        <v>2</v>
      </c>
      <c r="C9" s="15">
        <f t="shared" si="0"/>
        <v>0.16666666666666666</v>
      </c>
      <c r="D9" s="4">
        <v>5.0999999999999996</v>
      </c>
      <c r="E9" s="2">
        <v>4.3</v>
      </c>
      <c r="I9" s="4">
        <v>5</v>
      </c>
      <c r="J9" s="2">
        <v>5.7</v>
      </c>
      <c r="K9" s="4">
        <v>5</v>
      </c>
      <c r="L9" s="2">
        <v>3.3</v>
      </c>
    </row>
    <row r="10" spans="1:17" x14ac:dyDescent="0.2">
      <c r="A10" s="15">
        <v>296</v>
      </c>
      <c r="B10" s="15">
        <v>2</v>
      </c>
      <c r="C10" s="15">
        <f t="shared" si="0"/>
        <v>0.16666666666666666</v>
      </c>
      <c r="D10" s="4">
        <v>5</v>
      </c>
      <c r="E10" s="2">
        <v>3.8</v>
      </c>
      <c r="I10" s="4">
        <v>3.1</v>
      </c>
      <c r="J10" s="2">
        <v>4.5999999999999996</v>
      </c>
      <c r="K10" s="4">
        <v>5.0999999999999996</v>
      </c>
      <c r="L10" s="2">
        <v>3.6</v>
      </c>
    </row>
    <row r="11" spans="1:17" x14ac:dyDescent="0.2">
      <c r="A11" s="15">
        <v>298</v>
      </c>
      <c r="B11" s="15">
        <v>3</v>
      </c>
      <c r="C11" s="15">
        <f t="shared" si="0"/>
        <v>0.25</v>
      </c>
      <c r="D11" s="4">
        <v>2.9</v>
      </c>
      <c r="E11" s="2">
        <v>2.2999999999999998</v>
      </c>
      <c r="K11" s="4">
        <v>3.9</v>
      </c>
      <c r="L11" s="2">
        <v>2.5</v>
      </c>
    </row>
    <row r="12" spans="1:17" x14ac:dyDescent="0.2">
      <c r="A12" s="15">
        <v>415</v>
      </c>
      <c r="B12" s="15">
        <v>8</v>
      </c>
      <c r="C12" s="15">
        <f t="shared" si="0"/>
        <v>0.66666666666666663</v>
      </c>
      <c r="D12" s="4">
        <v>3.6</v>
      </c>
      <c r="E12" s="2">
        <v>4.3</v>
      </c>
    </row>
    <row r="13" spans="1:17" x14ac:dyDescent="0.2">
      <c r="A13" s="15">
        <v>417</v>
      </c>
      <c r="B13" s="15">
        <v>3</v>
      </c>
      <c r="C13" s="15">
        <f>B13/12</f>
        <v>0.25</v>
      </c>
      <c r="D13" s="4">
        <v>4.8</v>
      </c>
      <c r="E13" s="2">
        <v>3.8</v>
      </c>
    </row>
    <row r="14" spans="1:17" x14ac:dyDescent="0.2">
      <c r="A14" s="15">
        <v>478</v>
      </c>
      <c r="B14" s="15">
        <v>9</v>
      </c>
      <c r="C14" s="15">
        <f t="shared" si="0"/>
        <v>0.75</v>
      </c>
      <c r="D14" s="5">
        <v>4</v>
      </c>
      <c r="E14" s="2">
        <v>4.4000000000000004</v>
      </c>
    </row>
    <row r="15" spans="1:17" x14ac:dyDescent="0.2">
      <c r="A15" s="15">
        <v>589</v>
      </c>
      <c r="B15" s="15">
        <v>1</v>
      </c>
      <c r="C15" s="15">
        <f t="shared" si="0"/>
        <v>8.3333333333333329E-2</v>
      </c>
      <c r="D15" s="4">
        <v>5</v>
      </c>
      <c r="E15" s="2">
        <v>3.3</v>
      </c>
    </row>
    <row r="16" spans="1:17" x14ac:dyDescent="0.2">
      <c r="A16" s="15">
        <v>612</v>
      </c>
      <c r="B16" s="15">
        <v>2</v>
      </c>
      <c r="C16" s="15">
        <f t="shared" si="0"/>
        <v>0.16666666666666666</v>
      </c>
      <c r="D16" s="4">
        <v>5.0999999999999996</v>
      </c>
      <c r="E16" s="2">
        <v>3.6</v>
      </c>
    </row>
    <row r="17" spans="1:9" x14ac:dyDescent="0.2">
      <c r="A17" s="15">
        <v>638</v>
      </c>
      <c r="B17" s="15">
        <v>10</v>
      </c>
      <c r="C17" s="15">
        <f t="shared" si="0"/>
        <v>0.83333333333333337</v>
      </c>
      <c r="D17" s="4">
        <v>4.7</v>
      </c>
      <c r="E17" s="2">
        <v>5.8</v>
      </c>
    </row>
    <row r="18" spans="1:9" x14ac:dyDescent="0.2">
      <c r="A18" s="15">
        <v>781</v>
      </c>
      <c r="B18" s="15">
        <v>2</v>
      </c>
      <c r="C18" s="15">
        <f t="shared" si="0"/>
        <v>0.16666666666666666</v>
      </c>
      <c r="D18" s="4">
        <v>3.9</v>
      </c>
      <c r="E18" s="2">
        <v>2.5</v>
      </c>
    </row>
    <row r="19" spans="1:9" x14ac:dyDescent="0.2">
      <c r="A19" s="15">
        <v>794</v>
      </c>
      <c r="B19" s="15">
        <v>10</v>
      </c>
      <c r="C19" s="15">
        <f t="shared" si="0"/>
        <v>0.83333333333333337</v>
      </c>
      <c r="D19" s="4">
        <v>5</v>
      </c>
      <c r="E19" s="2">
        <v>5.7</v>
      </c>
    </row>
    <row r="20" spans="1:9" x14ac:dyDescent="0.2">
      <c r="A20" s="15">
        <v>809</v>
      </c>
      <c r="B20" s="15">
        <v>11</v>
      </c>
      <c r="C20" s="15">
        <f t="shared" si="0"/>
        <v>0.91666666666666663</v>
      </c>
      <c r="D20" s="4">
        <v>3.1</v>
      </c>
      <c r="E20" s="2">
        <v>4.5999999999999996</v>
      </c>
    </row>
    <row r="21" spans="1:9" x14ac:dyDescent="0.2">
      <c r="A21" s="1"/>
      <c r="B21" s="1"/>
      <c r="C21" s="1"/>
    </row>
    <row r="22" spans="1:9" x14ac:dyDescent="0.2">
      <c r="A22" s="1"/>
      <c r="B22" s="1"/>
      <c r="C22" s="1"/>
    </row>
    <row r="23" spans="1:9" x14ac:dyDescent="0.2">
      <c r="A23" s="1"/>
      <c r="B23" s="1"/>
      <c r="C23" s="1"/>
    </row>
    <row r="24" spans="1:9" x14ac:dyDescent="0.2">
      <c r="A24" s="1"/>
      <c r="B24" s="1"/>
      <c r="C24" s="1"/>
      <c r="I24" s="19"/>
    </row>
    <row r="25" spans="1:9" x14ac:dyDescent="0.2">
      <c r="A25" s="1"/>
      <c r="B25" s="1"/>
      <c r="C25" s="1"/>
    </row>
    <row r="26" spans="1:9" x14ac:dyDescent="0.2">
      <c r="A26" s="1"/>
      <c r="B26" s="1"/>
      <c r="C26" s="1"/>
    </row>
    <row r="27" spans="1:9" x14ac:dyDescent="0.2">
      <c r="A27" s="1"/>
      <c r="B27" s="1"/>
      <c r="C27" s="1"/>
    </row>
    <row r="30" spans="1:9" x14ac:dyDescent="0.2">
      <c r="D30" s="20"/>
      <c r="E30" s="20"/>
      <c r="G30" s="19"/>
      <c r="H30" s="19"/>
    </row>
  </sheetData>
  <sortState xmlns:xlrd2="http://schemas.microsoft.com/office/spreadsheetml/2017/richdata2" ref="A2:A26">
    <sortCondition ref="A2:A26"/>
  </sortState>
  <mergeCells count="1">
    <mergeCell ref="D30:E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42A0-E8B1-D541-8B16-086E3A92ED11}">
  <dimension ref="A1:AH37"/>
  <sheetViews>
    <sheetView zoomScale="75" zoomScaleNormal="50" workbookViewId="0">
      <selection activeCell="F34" sqref="F34"/>
    </sheetView>
  </sheetViews>
  <sheetFormatPr baseColWidth="10" defaultColWidth="11.5" defaultRowHeight="15" x14ac:dyDescent="0.2"/>
  <cols>
    <col min="16" max="16" width="22" customWidth="1"/>
    <col min="17" max="17" width="21.33203125" customWidth="1"/>
    <col min="18" max="18" width="22" customWidth="1"/>
  </cols>
  <sheetData>
    <row r="1" spans="1:34" s="3" customFormat="1" x14ac:dyDescent="0.2">
      <c r="A1" s="3" t="s">
        <v>0</v>
      </c>
      <c r="B1" s="3" t="s">
        <v>1</v>
      </c>
      <c r="C1" s="3" t="s">
        <v>2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  <c r="J1" s="3" t="s">
        <v>1</v>
      </c>
      <c r="K1" s="3" t="s">
        <v>1</v>
      </c>
      <c r="L1" s="3" t="s">
        <v>1</v>
      </c>
      <c r="M1" s="3" t="s">
        <v>1</v>
      </c>
      <c r="N1" s="3" t="s">
        <v>1</v>
      </c>
      <c r="O1" s="3" t="s">
        <v>1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3</v>
      </c>
      <c r="AF1" s="6" t="s">
        <v>4</v>
      </c>
      <c r="AG1" s="7" t="s">
        <v>5</v>
      </c>
      <c r="AH1" s="7" t="s">
        <v>6</v>
      </c>
    </row>
    <row r="2" spans="1:34" ht="16" x14ac:dyDescent="0.2">
      <c r="A2" s="1" t="s">
        <v>7</v>
      </c>
      <c r="B2" s="4">
        <v>1.3333333333333333</v>
      </c>
      <c r="C2" s="2">
        <v>5.333333333333333</v>
      </c>
      <c r="D2" s="4">
        <v>1</v>
      </c>
      <c r="E2" s="4">
        <v>1.2</v>
      </c>
      <c r="F2" s="4">
        <v>6</v>
      </c>
      <c r="G2" s="4">
        <v>15</v>
      </c>
      <c r="H2" s="4">
        <v>15</v>
      </c>
      <c r="I2" s="4">
        <v>19.583333333333336</v>
      </c>
      <c r="J2" s="4">
        <v>24</v>
      </c>
      <c r="K2" s="4">
        <v>6</v>
      </c>
      <c r="L2" s="4">
        <v>11</v>
      </c>
      <c r="M2" s="4">
        <v>6</v>
      </c>
      <c r="N2" s="4">
        <v>81.583333333333343</v>
      </c>
      <c r="O2" s="4">
        <v>2.8</v>
      </c>
      <c r="P2" s="2">
        <v>5.333333333333333</v>
      </c>
      <c r="Q2" s="2">
        <v>5.333333333333333</v>
      </c>
      <c r="R2" s="2">
        <v>4.833333333333333</v>
      </c>
      <c r="S2" s="2">
        <v>6</v>
      </c>
      <c r="T2" s="2">
        <v>11</v>
      </c>
      <c r="U2" s="2">
        <v>22</v>
      </c>
      <c r="V2" s="2">
        <v>22</v>
      </c>
      <c r="W2" s="2">
        <v>24</v>
      </c>
      <c r="X2" s="2">
        <v>9</v>
      </c>
      <c r="Y2" s="2">
        <v>19</v>
      </c>
      <c r="Z2" s="2">
        <v>8</v>
      </c>
      <c r="AA2" s="2">
        <v>104</v>
      </c>
      <c r="AB2" s="2">
        <v>3.3</v>
      </c>
      <c r="AC2" s="2">
        <v>42</v>
      </c>
      <c r="AF2" s="8">
        <v>415</v>
      </c>
      <c r="AG2" s="10">
        <v>612</v>
      </c>
      <c r="AH2" s="12">
        <v>478</v>
      </c>
    </row>
    <row r="3" spans="1:34" ht="16" x14ac:dyDescent="0.2">
      <c r="A3" s="1" t="s">
        <v>8</v>
      </c>
      <c r="B3" s="4">
        <v>6.5</v>
      </c>
      <c r="C3" s="2">
        <v>7</v>
      </c>
      <c r="D3" s="4">
        <v>5.5</v>
      </c>
      <c r="E3" s="4">
        <v>4.5999999999999996</v>
      </c>
      <c r="F3" s="4">
        <v>6</v>
      </c>
      <c r="G3" s="4">
        <v>17</v>
      </c>
      <c r="H3" s="4">
        <v>25</v>
      </c>
      <c r="I3" s="4">
        <v>19</v>
      </c>
      <c r="J3" s="4">
        <v>23</v>
      </c>
      <c r="K3" s="4">
        <v>16</v>
      </c>
      <c r="L3" s="4">
        <v>21</v>
      </c>
      <c r="M3" s="4">
        <v>11</v>
      </c>
      <c r="N3" s="4">
        <v>115</v>
      </c>
      <c r="O3" s="4">
        <v>3.5</v>
      </c>
      <c r="P3" s="2">
        <v>7</v>
      </c>
      <c r="Q3" s="2">
        <v>6.5</v>
      </c>
      <c r="R3" s="2">
        <v>5</v>
      </c>
      <c r="S3" s="2">
        <v>6</v>
      </c>
      <c r="T3" s="2">
        <v>15</v>
      </c>
      <c r="U3" s="2">
        <v>28</v>
      </c>
      <c r="V3" s="2">
        <v>18</v>
      </c>
      <c r="W3" s="2">
        <v>27</v>
      </c>
      <c r="X3" s="2">
        <v>18</v>
      </c>
      <c r="Y3" s="2">
        <v>24</v>
      </c>
      <c r="Z3" s="2">
        <v>12</v>
      </c>
      <c r="AA3" s="2">
        <v>127</v>
      </c>
      <c r="AB3" s="2">
        <v>4</v>
      </c>
      <c r="AC3" s="2">
        <v>41</v>
      </c>
      <c r="AF3" s="8">
        <v>812</v>
      </c>
      <c r="AG3" s="10">
        <v>809</v>
      </c>
      <c r="AH3" s="12">
        <v>817</v>
      </c>
    </row>
    <row r="4" spans="1:34" ht="16" x14ac:dyDescent="0.2">
      <c r="A4" s="1" t="s">
        <v>9</v>
      </c>
      <c r="B4" s="4">
        <v>5</v>
      </c>
      <c r="C4" s="2">
        <v>5.666666666666667</v>
      </c>
      <c r="D4" s="4">
        <v>5.833333333333333</v>
      </c>
      <c r="E4" s="4">
        <v>5.6</v>
      </c>
      <c r="F4" s="4">
        <v>4.833333333333333</v>
      </c>
      <c r="G4" s="4">
        <v>10</v>
      </c>
      <c r="H4" s="4">
        <v>13</v>
      </c>
      <c r="I4" s="4">
        <v>13</v>
      </c>
      <c r="J4" s="4">
        <v>22</v>
      </c>
      <c r="K4" s="4">
        <v>7</v>
      </c>
      <c r="L4" s="4">
        <v>12</v>
      </c>
      <c r="M4" s="4">
        <v>8</v>
      </c>
      <c r="N4" s="4">
        <v>75</v>
      </c>
      <c r="O4" s="4">
        <v>2.7</v>
      </c>
      <c r="P4" s="2">
        <v>5.666666666666667</v>
      </c>
      <c r="Q4" s="2">
        <v>5.333333333333333</v>
      </c>
      <c r="R4" s="2">
        <v>5</v>
      </c>
      <c r="S4" s="2">
        <v>5</v>
      </c>
      <c r="T4" s="2">
        <v>16</v>
      </c>
      <c r="U4" s="2">
        <v>13</v>
      </c>
      <c r="V4" s="2">
        <v>15</v>
      </c>
      <c r="W4" s="2">
        <v>18</v>
      </c>
      <c r="X4" s="2">
        <v>8</v>
      </c>
      <c r="Y4" s="2">
        <v>11</v>
      </c>
      <c r="Z4" s="2">
        <v>10</v>
      </c>
      <c r="AA4" s="2">
        <v>75</v>
      </c>
      <c r="AB4" s="2">
        <v>2.7</v>
      </c>
      <c r="AC4" s="2">
        <v>34</v>
      </c>
      <c r="AF4" s="8">
        <v>129</v>
      </c>
      <c r="AG4" s="11">
        <v>123</v>
      </c>
      <c r="AH4" s="13">
        <v>588</v>
      </c>
    </row>
    <row r="5" spans="1:34" ht="16" x14ac:dyDescent="0.2">
      <c r="A5" s="1" t="s">
        <v>10</v>
      </c>
      <c r="B5" s="4">
        <v>4.833333333333333</v>
      </c>
      <c r="C5" s="2">
        <v>4</v>
      </c>
      <c r="D5" s="4">
        <v>6.7681159420289854</v>
      </c>
      <c r="E5" s="4">
        <v>4</v>
      </c>
      <c r="F5" s="4">
        <v>5.5</v>
      </c>
      <c r="G5" s="4">
        <v>12</v>
      </c>
      <c r="H5" s="4">
        <v>21</v>
      </c>
      <c r="I5" s="4">
        <v>25</v>
      </c>
      <c r="J5" s="4">
        <v>24</v>
      </c>
      <c r="K5" s="4">
        <v>15</v>
      </c>
      <c r="L5" s="4">
        <v>19</v>
      </c>
      <c r="M5" s="4">
        <v>11</v>
      </c>
      <c r="N5" s="4">
        <v>115</v>
      </c>
      <c r="O5" s="4">
        <v>3.2</v>
      </c>
      <c r="P5" s="2">
        <v>4</v>
      </c>
      <c r="Q5" s="2">
        <v>5.166666666666667</v>
      </c>
      <c r="R5" s="2">
        <v>3.6666666666666665</v>
      </c>
      <c r="S5" s="2">
        <v>3.1666666666666665</v>
      </c>
      <c r="T5" s="2">
        <v>9</v>
      </c>
      <c r="U5" s="2">
        <v>21</v>
      </c>
      <c r="V5" s="2">
        <v>20</v>
      </c>
      <c r="W5" s="2">
        <v>23</v>
      </c>
      <c r="X5" s="2">
        <v>15</v>
      </c>
      <c r="Y5" s="2">
        <v>19.705882352941178</v>
      </c>
      <c r="Z5" s="2">
        <v>11</v>
      </c>
      <c r="AA5" s="2">
        <v>109.70588235294117</v>
      </c>
      <c r="AB5" s="2">
        <v>2.9</v>
      </c>
      <c r="AC5" s="2">
        <v>41</v>
      </c>
      <c r="AF5" s="8">
        <v>794</v>
      </c>
      <c r="AG5" s="11">
        <v>724</v>
      </c>
      <c r="AH5" s="14">
        <v>172</v>
      </c>
    </row>
    <row r="6" spans="1:34" ht="16" x14ac:dyDescent="0.2">
      <c r="A6" s="1" t="s">
        <v>11</v>
      </c>
      <c r="B6" s="4">
        <v>4.666666666666667</v>
      </c>
      <c r="C6" s="2">
        <v>5.166666666666667</v>
      </c>
      <c r="D6" s="4">
        <v>5.333333333333333</v>
      </c>
      <c r="E6" s="4">
        <v>4.8</v>
      </c>
      <c r="F6" s="4">
        <v>6</v>
      </c>
      <c r="G6" s="4">
        <v>19</v>
      </c>
      <c r="H6" s="4">
        <v>25</v>
      </c>
      <c r="I6" s="4">
        <v>26</v>
      </c>
      <c r="J6" s="4">
        <v>22</v>
      </c>
      <c r="K6" s="4">
        <v>5</v>
      </c>
      <c r="L6" s="4">
        <v>22</v>
      </c>
      <c r="M6" s="4">
        <v>15</v>
      </c>
      <c r="N6" s="4">
        <v>115</v>
      </c>
      <c r="O6" s="4">
        <v>3.8</v>
      </c>
      <c r="P6" s="2">
        <v>5.166666666666667</v>
      </c>
      <c r="Q6" s="2">
        <v>7</v>
      </c>
      <c r="R6" s="2">
        <v>4.833333333333333</v>
      </c>
      <c r="S6" s="2">
        <v>5</v>
      </c>
      <c r="T6" s="2">
        <v>23</v>
      </c>
      <c r="U6" s="2">
        <v>23</v>
      </c>
      <c r="V6" s="2">
        <v>19</v>
      </c>
      <c r="W6" s="2">
        <v>23</v>
      </c>
      <c r="X6" s="2">
        <v>4</v>
      </c>
      <c r="Y6" s="2">
        <v>17</v>
      </c>
      <c r="Z6" s="2">
        <v>14</v>
      </c>
      <c r="AA6" s="2">
        <v>100</v>
      </c>
      <c r="AB6" s="2">
        <v>3.9</v>
      </c>
      <c r="AC6" s="2">
        <v>40</v>
      </c>
      <c r="AF6" s="9">
        <v>781</v>
      </c>
      <c r="AG6" s="10">
        <v>296</v>
      </c>
      <c r="AH6" s="13">
        <v>948</v>
      </c>
    </row>
    <row r="7" spans="1:34" ht="16" x14ac:dyDescent="0.2">
      <c r="A7" s="1" t="s">
        <v>12</v>
      </c>
      <c r="B7" s="4">
        <v>3.6666666666666665</v>
      </c>
      <c r="C7" s="2">
        <v>5.333333333333333</v>
      </c>
      <c r="D7" s="4">
        <v>5</v>
      </c>
      <c r="E7" s="4">
        <v>4.2</v>
      </c>
      <c r="F7" s="4">
        <v>4.166666666666667</v>
      </c>
      <c r="G7" s="4">
        <v>12</v>
      </c>
      <c r="H7" s="4">
        <v>20</v>
      </c>
      <c r="I7" s="4">
        <v>24</v>
      </c>
      <c r="J7" s="4">
        <v>24</v>
      </c>
      <c r="K7" s="4">
        <v>11</v>
      </c>
      <c r="L7" s="4">
        <v>19</v>
      </c>
      <c r="M7" s="4">
        <v>13</v>
      </c>
      <c r="N7" s="4">
        <v>111</v>
      </c>
      <c r="O7" s="4">
        <v>3.5</v>
      </c>
      <c r="P7" s="2">
        <v>5.333333333333333</v>
      </c>
      <c r="Q7" s="2">
        <v>6.833333333333333</v>
      </c>
      <c r="R7" s="2">
        <v>4</v>
      </c>
      <c r="S7" s="2">
        <v>4</v>
      </c>
      <c r="T7" s="2">
        <v>11</v>
      </c>
      <c r="U7" s="2">
        <v>23</v>
      </c>
      <c r="V7" s="2">
        <v>29</v>
      </c>
      <c r="W7" s="2">
        <v>24</v>
      </c>
      <c r="X7" s="2">
        <v>15</v>
      </c>
      <c r="Y7" s="2">
        <v>16</v>
      </c>
      <c r="Z7" s="2">
        <v>12</v>
      </c>
      <c r="AA7" s="2">
        <v>119</v>
      </c>
      <c r="AB7" s="2">
        <v>4</v>
      </c>
      <c r="AC7" s="2">
        <v>40</v>
      </c>
      <c r="AF7" s="8">
        <v>975</v>
      </c>
      <c r="AG7" s="11">
        <v>267</v>
      </c>
      <c r="AH7" s="12">
        <v>122</v>
      </c>
    </row>
    <row r="8" spans="1:34" ht="16" x14ac:dyDescent="0.2">
      <c r="A8" s="1" t="s">
        <v>13</v>
      </c>
      <c r="B8" s="4">
        <v>3.8333333333333335</v>
      </c>
      <c r="C8" s="2">
        <v>4.166666666666667</v>
      </c>
      <c r="D8" s="4">
        <v>5.5</v>
      </c>
      <c r="E8" s="4">
        <v>4.4000000000000004</v>
      </c>
      <c r="F8" s="4">
        <v>5.5</v>
      </c>
      <c r="G8" s="4">
        <v>12</v>
      </c>
      <c r="H8" s="4">
        <v>19</v>
      </c>
      <c r="I8" s="4">
        <v>17</v>
      </c>
      <c r="J8" s="4">
        <v>24</v>
      </c>
      <c r="K8" s="4">
        <v>14</v>
      </c>
      <c r="L8" s="4">
        <v>24</v>
      </c>
      <c r="M8" s="4">
        <v>12</v>
      </c>
      <c r="N8" s="4">
        <v>110</v>
      </c>
      <c r="O8" s="4">
        <v>3.1</v>
      </c>
      <c r="P8" s="2">
        <v>4.166666666666667</v>
      </c>
      <c r="Q8" s="2">
        <v>6.5</v>
      </c>
      <c r="R8" s="2">
        <v>4.833333333333333</v>
      </c>
      <c r="S8" s="2">
        <v>5.666666666666667</v>
      </c>
      <c r="T8" s="2">
        <v>11</v>
      </c>
      <c r="U8" s="2">
        <v>20</v>
      </c>
      <c r="V8" s="2">
        <v>24</v>
      </c>
      <c r="W8" s="2">
        <v>27</v>
      </c>
      <c r="X8" s="2">
        <v>15.529411764705882</v>
      </c>
      <c r="Y8" s="2">
        <v>20</v>
      </c>
      <c r="Z8" s="2">
        <v>12</v>
      </c>
      <c r="AA8" s="2">
        <v>118.52941176470588</v>
      </c>
      <c r="AB8" s="2">
        <v>3.5</v>
      </c>
      <c r="AC8" s="2">
        <v>39</v>
      </c>
      <c r="AF8" s="9">
        <v>298</v>
      </c>
      <c r="AG8" s="11">
        <v>270</v>
      </c>
      <c r="AH8" s="12">
        <v>956</v>
      </c>
    </row>
    <row r="9" spans="1:34" ht="16" x14ac:dyDescent="0.2">
      <c r="A9" s="1" t="s">
        <v>14</v>
      </c>
      <c r="B9" s="4">
        <v>5.166666666666667</v>
      </c>
      <c r="C9" s="2">
        <v>6.166666666666667</v>
      </c>
      <c r="D9" s="4">
        <v>5.166666666666667</v>
      </c>
      <c r="E9" s="4">
        <v>4.5999999999999996</v>
      </c>
      <c r="F9" s="4">
        <v>5</v>
      </c>
      <c r="G9" s="4">
        <v>12</v>
      </c>
      <c r="H9" s="4">
        <v>18.208333333333336</v>
      </c>
      <c r="I9" s="4">
        <v>24</v>
      </c>
      <c r="J9" s="4">
        <v>21</v>
      </c>
      <c r="K9" s="4">
        <v>11</v>
      </c>
      <c r="L9" s="4">
        <v>18</v>
      </c>
      <c r="M9" s="4">
        <v>12</v>
      </c>
      <c r="N9" s="4">
        <v>104.20833333333334</v>
      </c>
      <c r="O9" s="4">
        <v>3.5</v>
      </c>
      <c r="P9" s="2">
        <v>6.166666666666667</v>
      </c>
      <c r="Q9" s="2">
        <v>6.5</v>
      </c>
      <c r="R9" s="2">
        <v>3.6666666666666665</v>
      </c>
      <c r="S9" s="2">
        <v>5.5</v>
      </c>
      <c r="T9" s="2">
        <v>10</v>
      </c>
      <c r="U9" s="2">
        <v>23</v>
      </c>
      <c r="V9" s="2">
        <v>29</v>
      </c>
      <c r="W9" s="2">
        <v>24</v>
      </c>
      <c r="X9" s="2">
        <v>11</v>
      </c>
      <c r="Y9" s="2">
        <v>21</v>
      </c>
      <c r="Z9" s="2">
        <v>12</v>
      </c>
      <c r="AA9" s="2">
        <v>120</v>
      </c>
      <c r="AB9" s="2">
        <v>3.6</v>
      </c>
      <c r="AC9" s="2">
        <v>38.82352941176471</v>
      </c>
    </row>
    <row r="10" spans="1:34" ht="16" x14ac:dyDescent="0.2">
      <c r="A10" s="1" t="s">
        <v>15</v>
      </c>
      <c r="B10" s="4">
        <v>3.3333333333333335</v>
      </c>
      <c r="C10" s="2">
        <v>6.166666666666667</v>
      </c>
      <c r="D10" s="4">
        <v>4</v>
      </c>
      <c r="E10" s="4">
        <v>5</v>
      </c>
      <c r="F10" s="4">
        <v>5.166666666666667</v>
      </c>
      <c r="G10" s="4">
        <v>16</v>
      </c>
      <c r="H10" s="4">
        <v>17</v>
      </c>
      <c r="I10" s="4">
        <v>24</v>
      </c>
      <c r="J10" s="4">
        <v>23</v>
      </c>
      <c r="K10" s="4">
        <v>16</v>
      </c>
      <c r="L10" s="4">
        <v>20</v>
      </c>
      <c r="M10" s="4">
        <v>15</v>
      </c>
      <c r="N10" s="4">
        <v>115</v>
      </c>
      <c r="O10" s="4">
        <v>3.2</v>
      </c>
      <c r="P10" s="2">
        <v>6.166666666666667</v>
      </c>
      <c r="Q10" s="2">
        <v>7</v>
      </c>
      <c r="R10" s="2">
        <v>4.333333333333333</v>
      </c>
      <c r="S10" s="2">
        <v>5.333333333333333</v>
      </c>
      <c r="T10" s="2">
        <v>10</v>
      </c>
      <c r="U10" s="2">
        <v>25</v>
      </c>
      <c r="V10" s="2">
        <v>31</v>
      </c>
      <c r="W10" s="2">
        <v>28</v>
      </c>
      <c r="X10" s="2">
        <v>18</v>
      </c>
      <c r="Y10" s="2">
        <v>22</v>
      </c>
      <c r="Z10" s="2">
        <v>15</v>
      </c>
      <c r="AA10" s="2">
        <v>139</v>
      </c>
      <c r="AB10" s="2">
        <v>3.7</v>
      </c>
      <c r="AC10" s="2">
        <v>38</v>
      </c>
    </row>
    <row r="11" spans="1:34" ht="16" x14ac:dyDescent="0.2">
      <c r="A11" s="1" t="s">
        <v>16</v>
      </c>
      <c r="B11" s="4">
        <v>3.5</v>
      </c>
      <c r="C11" s="2">
        <v>4.833333333333333</v>
      </c>
      <c r="D11" s="4">
        <v>4.166666666666667</v>
      </c>
      <c r="E11" s="4">
        <v>3.6</v>
      </c>
      <c r="F11" s="4">
        <v>5.5</v>
      </c>
      <c r="G11" s="4">
        <v>18</v>
      </c>
      <c r="H11" s="4">
        <v>20</v>
      </c>
      <c r="I11" s="4">
        <v>32</v>
      </c>
      <c r="J11" s="4">
        <v>20</v>
      </c>
      <c r="K11" s="4">
        <v>12</v>
      </c>
      <c r="L11" s="4">
        <v>15</v>
      </c>
      <c r="M11" s="4">
        <v>14</v>
      </c>
      <c r="N11" s="4">
        <v>113</v>
      </c>
      <c r="O11" s="4">
        <v>3.5</v>
      </c>
      <c r="P11" s="2">
        <v>4.833333333333333</v>
      </c>
      <c r="Q11" s="2">
        <v>6</v>
      </c>
      <c r="R11" s="2">
        <v>3.5</v>
      </c>
      <c r="S11" s="2">
        <v>5.333333333333333</v>
      </c>
      <c r="T11" s="2">
        <v>21</v>
      </c>
      <c r="U11" s="2">
        <v>21</v>
      </c>
      <c r="V11" s="2">
        <v>29</v>
      </c>
      <c r="W11" s="2">
        <v>26.411764705882351</v>
      </c>
      <c r="X11" s="2">
        <v>16</v>
      </c>
      <c r="Y11" s="2">
        <v>16</v>
      </c>
      <c r="Z11" s="2">
        <v>15</v>
      </c>
      <c r="AA11" s="2">
        <v>123.41176470588235</v>
      </c>
      <c r="AB11" s="2">
        <v>3.7</v>
      </c>
      <c r="AC11" s="2">
        <v>26</v>
      </c>
    </row>
    <row r="12" spans="1:34" ht="16" x14ac:dyDescent="0.2">
      <c r="A12" s="1" t="s">
        <v>17</v>
      </c>
      <c r="B12" s="4">
        <v>4</v>
      </c>
      <c r="C12" s="2">
        <v>4.833333333333333</v>
      </c>
      <c r="D12" s="4">
        <v>6.166666666666667</v>
      </c>
      <c r="E12" s="4">
        <v>3.6</v>
      </c>
      <c r="F12" s="4">
        <v>5.333333333333333</v>
      </c>
      <c r="G12" s="4">
        <v>7</v>
      </c>
      <c r="H12" s="4">
        <v>26</v>
      </c>
      <c r="I12" s="4">
        <v>33</v>
      </c>
      <c r="J12" s="4">
        <v>25</v>
      </c>
      <c r="K12" s="4">
        <v>15</v>
      </c>
      <c r="L12" s="4">
        <v>28</v>
      </c>
      <c r="M12" s="4">
        <v>10</v>
      </c>
      <c r="N12" s="4">
        <v>137</v>
      </c>
      <c r="O12" s="4">
        <v>4.0999999999999996</v>
      </c>
      <c r="P12" s="2">
        <v>4.833333333333333</v>
      </c>
      <c r="Q12" s="2">
        <v>6</v>
      </c>
      <c r="R12" s="2">
        <v>4</v>
      </c>
      <c r="S12" s="2">
        <v>5</v>
      </c>
      <c r="T12" s="2">
        <v>9</v>
      </c>
      <c r="U12" s="2">
        <v>29</v>
      </c>
      <c r="V12" s="2">
        <v>31</v>
      </c>
      <c r="W12" s="2">
        <v>30</v>
      </c>
      <c r="X12" s="2">
        <v>17</v>
      </c>
      <c r="Y12" s="2">
        <v>25</v>
      </c>
      <c r="Z12" s="2">
        <v>13</v>
      </c>
      <c r="AA12" s="2">
        <v>145</v>
      </c>
      <c r="AB12" s="2">
        <v>3.7</v>
      </c>
      <c r="AC12" s="2">
        <v>41</v>
      </c>
    </row>
    <row r="13" spans="1:34" ht="16" x14ac:dyDescent="0.2">
      <c r="A13" s="1" t="s">
        <v>18</v>
      </c>
      <c r="B13" s="4">
        <v>3.3333333333333335</v>
      </c>
      <c r="C13" s="2">
        <v>3.5</v>
      </c>
      <c r="D13" s="4">
        <v>4.833333333333333</v>
      </c>
      <c r="E13" s="4">
        <v>3.6</v>
      </c>
      <c r="F13" s="4">
        <v>5.166666666666667</v>
      </c>
      <c r="G13" s="4">
        <v>20</v>
      </c>
      <c r="H13" s="4">
        <v>23</v>
      </c>
      <c r="I13" s="4">
        <v>19</v>
      </c>
      <c r="J13" s="4">
        <v>27</v>
      </c>
      <c r="K13" s="4">
        <v>18</v>
      </c>
      <c r="L13" s="4">
        <v>26</v>
      </c>
      <c r="M13" s="4">
        <v>15</v>
      </c>
      <c r="N13" s="4">
        <v>128</v>
      </c>
      <c r="O13" s="4">
        <v>3.7</v>
      </c>
      <c r="P13" s="2">
        <v>3.5</v>
      </c>
      <c r="Q13" s="2">
        <v>5.666666666666667</v>
      </c>
      <c r="R13" s="2">
        <v>2.1666666666666665</v>
      </c>
      <c r="S13" s="2">
        <v>5.333333333333333</v>
      </c>
      <c r="T13" s="2">
        <v>20</v>
      </c>
      <c r="U13" s="2">
        <v>22</v>
      </c>
      <c r="V13" s="2">
        <v>24</v>
      </c>
      <c r="W13" s="2">
        <v>25</v>
      </c>
      <c r="X13" s="2">
        <v>20</v>
      </c>
      <c r="Y13" s="2">
        <v>26</v>
      </c>
      <c r="Z13" s="2">
        <v>15</v>
      </c>
      <c r="AA13" s="2">
        <v>132</v>
      </c>
      <c r="AB13" s="2">
        <v>4</v>
      </c>
      <c r="AC13" s="2">
        <v>37</v>
      </c>
    </row>
    <row r="14" spans="1:34" ht="16" x14ac:dyDescent="0.2">
      <c r="A14" s="1" t="s">
        <v>19</v>
      </c>
      <c r="B14" s="5">
        <v>3.8333333299999999</v>
      </c>
      <c r="C14" s="2">
        <v>5.666666666666667</v>
      </c>
      <c r="D14" s="5">
        <v>4.3333333300000003</v>
      </c>
      <c r="E14" s="5">
        <v>4</v>
      </c>
      <c r="F14" s="5">
        <v>6</v>
      </c>
      <c r="G14" s="5">
        <v>25</v>
      </c>
      <c r="H14" s="5">
        <v>21</v>
      </c>
      <c r="I14" s="5">
        <v>29</v>
      </c>
      <c r="J14" s="5">
        <v>20</v>
      </c>
      <c r="K14" s="5">
        <v>14</v>
      </c>
      <c r="L14" s="5">
        <v>24</v>
      </c>
      <c r="M14" s="5">
        <v>14</v>
      </c>
      <c r="N14" s="5">
        <v>122</v>
      </c>
      <c r="O14" s="5">
        <v>3.5</v>
      </c>
      <c r="P14" s="2">
        <v>5.666666666666667</v>
      </c>
      <c r="Q14" s="2">
        <v>6.333333333333333</v>
      </c>
      <c r="R14" s="2">
        <v>4.166666666666667</v>
      </c>
      <c r="S14" s="2">
        <v>5</v>
      </c>
      <c r="T14" s="2">
        <v>25</v>
      </c>
      <c r="U14" s="2">
        <v>21</v>
      </c>
      <c r="V14" s="2">
        <v>24</v>
      </c>
      <c r="W14" s="2">
        <v>26</v>
      </c>
      <c r="X14" s="2">
        <v>15</v>
      </c>
      <c r="Y14" s="2">
        <v>23</v>
      </c>
      <c r="Z14" s="2">
        <v>15</v>
      </c>
      <c r="AA14" s="2">
        <v>124</v>
      </c>
      <c r="AB14" s="2">
        <v>3.6</v>
      </c>
      <c r="AC14" s="2">
        <v>39</v>
      </c>
    </row>
    <row r="15" spans="1:34" ht="16" x14ac:dyDescent="0.2">
      <c r="A15" s="1" t="s">
        <v>20</v>
      </c>
      <c r="B15" s="4">
        <v>3.5</v>
      </c>
      <c r="C15" s="2">
        <v>4.833333333333333</v>
      </c>
      <c r="D15" s="4">
        <v>3.3333333333333335</v>
      </c>
      <c r="E15" s="4">
        <v>3.6</v>
      </c>
      <c r="F15" s="4">
        <v>5.833333333333333</v>
      </c>
      <c r="G15" s="4">
        <v>9</v>
      </c>
      <c r="H15" s="4">
        <v>19</v>
      </c>
      <c r="I15" s="4">
        <v>23</v>
      </c>
      <c r="J15" s="4">
        <v>30</v>
      </c>
      <c r="K15" s="4">
        <v>18</v>
      </c>
      <c r="L15" s="4">
        <v>24</v>
      </c>
      <c r="M15" s="4">
        <v>10</v>
      </c>
      <c r="N15" s="4">
        <v>124</v>
      </c>
      <c r="O15" s="4">
        <v>3.5</v>
      </c>
      <c r="P15" s="2">
        <v>4.833333333333333</v>
      </c>
      <c r="Q15" s="2">
        <v>5.5</v>
      </c>
      <c r="R15" s="2">
        <v>6</v>
      </c>
      <c r="S15" s="2">
        <v>6</v>
      </c>
      <c r="T15" s="2">
        <v>12</v>
      </c>
      <c r="U15" s="2">
        <v>19</v>
      </c>
      <c r="V15" s="2">
        <v>25</v>
      </c>
      <c r="W15" s="2">
        <v>29</v>
      </c>
      <c r="X15" s="2">
        <v>12</v>
      </c>
      <c r="Y15" s="2">
        <v>29</v>
      </c>
      <c r="Z15" s="2">
        <v>13</v>
      </c>
      <c r="AA15" s="2">
        <v>127</v>
      </c>
      <c r="AB15" s="2">
        <v>3.3</v>
      </c>
      <c r="AC15" s="2">
        <v>41</v>
      </c>
    </row>
    <row r="16" spans="1:34" ht="16" x14ac:dyDescent="0.2">
      <c r="A16" s="1" t="s">
        <v>21</v>
      </c>
      <c r="B16" s="4">
        <v>5.833333333333333</v>
      </c>
      <c r="C16" s="2">
        <v>5.5</v>
      </c>
      <c r="D16" s="4">
        <v>6</v>
      </c>
      <c r="E16" s="4">
        <v>4.5999999999999996</v>
      </c>
      <c r="F16" s="4">
        <v>5.5</v>
      </c>
      <c r="G16" s="4">
        <v>7</v>
      </c>
      <c r="H16" s="4">
        <v>25</v>
      </c>
      <c r="I16" s="4">
        <v>37</v>
      </c>
      <c r="J16" s="4">
        <v>32</v>
      </c>
      <c r="K16" s="4">
        <v>13</v>
      </c>
      <c r="L16" s="4">
        <v>28</v>
      </c>
      <c r="M16" s="4">
        <v>14</v>
      </c>
      <c r="N16" s="4">
        <v>149</v>
      </c>
      <c r="O16" s="4">
        <v>4.5999999999999996</v>
      </c>
      <c r="P16" s="2">
        <v>5.5</v>
      </c>
      <c r="Q16" s="2">
        <v>7</v>
      </c>
      <c r="R16" s="2">
        <v>4.833333333333333</v>
      </c>
      <c r="S16" s="2">
        <v>6</v>
      </c>
      <c r="T16" s="2">
        <v>9</v>
      </c>
      <c r="U16" s="2">
        <v>29</v>
      </c>
      <c r="V16" s="2">
        <v>36</v>
      </c>
      <c r="W16" s="2">
        <v>31</v>
      </c>
      <c r="X16" s="2">
        <v>13</v>
      </c>
      <c r="Y16" s="2">
        <v>29</v>
      </c>
      <c r="Z16" s="2">
        <v>13</v>
      </c>
      <c r="AA16" s="2">
        <v>151</v>
      </c>
      <c r="AB16" s="2">
        <v>4.9000000000000004</v>
      </c>
      <c r="AC16" s="2">
        <v>41</v>
      </c>
    </row>
    <row r="17" spans="1:29" ht="16" x14ac:dyDescent="0.2">
      <c r="A17" s="1" t="s">
        <v>22</v>
      </c>
      <c r="B17" s="4">
        <v>2</v>
      </c>
      <c r="C17" s="2">
        <v>5.333333333333333</v>
      </c>
      <c r="D17" s="4">
        <v>2.1666666666666665</v>
      </c>
      <c r="E17" s="4">
        <v>2.4</v>
      </c>
      <c r="F17" s="4">
        <v>5</v>
      </c>
      <c r="G17" s="4">
        <v>15</v>
      </c>
      <c r="H17" s="4">
        <v>14</v>
      </c>
      <c r="I17" s="4">
        <v>16</v>
      </c>
      <c r="J17" s="4">
        <v>23</v>
      </c>
      <c r="K17" s="4">
        <v>14</v>
      </c>
      <c r="L17" s="4">
        <v>19</v>
      </c>
      <c r="M17" s="4">
        <v>10</v>
      </c>
      <c r="N17" s="4">
        <v>96</v>
      </c>
      <c r="O17" s="4">
        <v>2.2999999999999998</v>
      </c>
      <c r="P17" s="2">
        <v>5.333333333333333</v>
      </c>
      <c r="Q17" s="2">
        <v>7</v>
      </c>
      <c r="R17" s="2">
        <f>SUM(R2:R16, R18:R20)/18</f>
        <v>4.3518518518518512</v>
      </c>
      <c r="S17" s="2">
        <f t="shared" ref="S17:AC17" si="0">SUM(S2:S16, S18:S20)/18</f>
        <v>5.2222222222222223</v>
      </c>
      <c r="T17" s="2">
        <f t="shared" si="0"/>
        <v>14.166666666666666</v>
      </c>
      <c r="U17" s="2">
        <f t="shared" si="0"/>
        <v>22.222222222222221</v>
      </c>
      <c r="V17" s="2">
        <f t="shared" si="0"/>
        <v>24.222222222222221</v>
      </c>
      <c r="W17" s="2">
        <f t="shared" si="0"/>
        <v>25.245098039215684</v>
      </c>
      <c r="X17" s="2">
        <f t="shared" si="0"/>
        <v>13.751633986928105</v>
      </c>
      <c r="Y17" s="2">
        <f t="shared" si="0"/>
        <v>21.65032679738562</v>
      </c>
      <c r="Z17" s="2">
        <f t="shared" si="0"/>
        <v>11.944444444444445</v>
      </c>
      <c r="AA17" s="2">
        <f t="shared" si="0"/>
        <v>119.03594771241832</v>
      </c>
      <c r="AB17" s="2">
        <f t="shared" si="0"/>
        <v>3.5500000000000003</v>
      </c>
      <c r="AC17" s="2">
        <f t="shared" si="0"/>
        <v>38.87908496732026</v>
      </c>
    </row>
    <row r="18" spans="1:29" ht="16" x14ac:dyDescent="0.2">
      <c r="A18" s="1" t="s">
        <v>23</v>
      </c>
      <c r="B18" s="4">
        <v>3.6666666666666665</v>
      </c>
      <c r="C18" s="2">
        <v>5.166666666666667</v>
      </c>
      <c r="D18" s="4">
        <v>7</v>
      </c>
      <c r="E18" s="4">
        <v>4.8</v>
      </c>
      <c r="F18" s="4">
        <v>4</v>
      </c>
      <c r="G18" s="4">
        <v>5</v>
      </c>
      <c r="H18" s="4">
        <v>18</v>
      </c>
      <c r="I18" s="4">
        <v>21</v>
      </c>
      <c r="J18" s="4">
        <v>22</v>
      </c>
      <c r="K18" s="4">
        <v>8</v>
      </c>
      <c r="L18" s="4">
        <v>28</v>
      </c>
      <c r="M18" s="4">
        <v>8</v>
      </c>
      <c r="N18" s="4">
        <v>105</v>
      </c>
      <c r="O18" s="4">
        <v>3.5</v>
      </c>
      <c r="P18" s="2">
        <v>5.166666666666667</v>
      </c>
      <c r="Q18" s="2">
        <v>6.833333333333333</v>
      </c>
      <c r="R18" s="2">
        <v>4.166666666666667</v>
      </c>
      <c r="S18" s="2">
        <v>4.5</v>
      </c>
      <c r="T18" s="2">
        <v>12</v>
      </c>
      <c r="U18" s="2">
        <v>18</v>
      </c>
      <c r="V18" s="2">
        <v>19</v>
      </c>
      <c r="W18" s="2">
        <v>19</v>
      </c>
      <c r="X18" s="2">
        <v>7</v>
      </c>
      <c r="Y18" s="2">
        <v>24</v>
      </c>
      <c r="Z18" s="2">
        <v>8</v>
      </c>
      <c r="AA18" s="2">
        <v>95</v>
      </c>
      <c r="AB18" s="2">
        <v>3.5</v>
      </c>
      <c r="AC18" s="2">
        <v>40</v>
      </c>
    </row>
    <row r="19" spans="1:29" ht="16" x14ac:dyDescent="0.2">
      <c r="A19" s="1" t="s">
        <v>24</v>
      </c>
      <c r="B19" s="4">
        <v>4.333333333333333</v>
      </c>
      <c r="C19" s="2">
        <v>5.5</v>
      </c>
      <c r="D19" s="4">
        <v>4.333333333333333</v>
      </c>
      <c r="E19" s="4">
        <v>4.4000000000000004</v>
      </c>
      <c r="F19" s="4">
        <v>6</v>
      </c>
      <c r="G19" s="4">
        <v>9</v>
      </c>
      <c r="H19" s="4">
        <v>19</v>
      </c>
      <c r="I19" s="4">
        <v>20</v>
      </c>
      <c r="J19" s="4">
        <v>28</v>
      </c>
      <c r="K19" s="4">
        <v>14</v>
      </c>
      <c r="L19" s="4">
        <v>23.833333333333336</v>
      </c>
      <c r="M19" s="4">
        <v>9</v>
      </c>
      <c r="N19" s="4">
        <v>113.83333333333334</v>
      </c>
      <c r="O19" s="4">
        <v>2.6</v>
      </c>
      <c r="P19" s="2">
        <v>5.5</v>
      </c>
      <c r="Q19" s="2">
        <v>6.5</v>
      </c>
      <c r="R19" s="2">
        <v>4.333333333333333</v>
      </c>
      <c r="S19" s="2">
        <v>5.833333333333333</v>
      </c>
      <c r="T19" s="2">
        <v>9</v>
      </c>
      <c r="U19" s="2">
        <v>26</v>
      </c>
      <c r="V19" s="2">
        <v>29</v>
      </c>
      <c r="W19" s="2">
        <v>24</v>
      </c>
      <c r="X19" s="2">
        <v>20</v>
      </c>
      <c r="Y19" s="2">
        <v>26</v>
      </c>
      <c r="Z19" s="2">
        <v>12</v>
      </c>
      <c r="AA19" s="2">
        <v>137</v>
      </c>
      <c r="AB19" s="2">
        <v>4.0999999999999996</v>
      </c>
      <c r="AC19" s="2">
        <v>39</v>
      </c>
    </row>
    <row r="20" spans="1:29" ht="16" x14ac:dyDescent="0.2">
      <c r="A20" s="1" t="s">
        <v>25</v>
      </c>
      <c r="B20" s="4">
        <v>5.333333333333333</v>
      </c>
      <c r="C20" s="2">
        <v>6.5</v>
      </c>
      <c r="D20" s="4">
        <v>4.666666666666667</v>
      </c>
      <c r="E20" s="4">
        <v>5.8</v>
      </c>
      <c r="F20" s="4">
        <v>6</v>
      </c>
      <c r="G20" s="4">
        <v>17</v>
      </c>
      <c r="H20" s="4">
        <v>15</v>
      </c>
      <c r="I20" s="4">
        <v>13</v>
      </c>
      <c r="J20" s="4">
        <v>19</v>
      </c>
      <c r="K20" s="4">
        <v>14</v>
      </c>
      <c r="L20" s="4">
        <v>16</v>
      </c>
      <c r="M20" s="4">
        <v>6</v>
      </c>
      <c r="N20" s="4">
        <v>83</v>
      </c>
      <c r="O20" s="4">
        <v>3.2</v>
      </c>
      <c r="P20" s="2">
        <v>6.5</v>
      </c>
      <c r="Q20" s="2">
        <v>5</v>
      </c>
      <c r="R20" s="2">
        <v>5</v>
      </c>
      <c r="S20" s="2">
        <v>5.333333333333333</v>
      </c>
      <c r="T20" s="2">
        <v>22</v>
      </c>
      <c r="U20" s="2">
        <v>17</v>
      </c>
      <c r="V20" s="2">
        <v>12</v>
      </c>
      <c r="W20" s="2">
        <v>26</v>
      </c>
      <c r="X20" s="2">
        <v>14</v>
      </c>
      <c r="Y20" s="2">
        <v>22</v>
      </c>
      <c r="Z20" s="2">
        <v>5</v>
      </c>
      <c r="AA20" s="2">
        <v>96</v>
      </c>
      <c r="AB20" s="2">
        <v>1.5</v>
      </c>
      <c r="AC20" s="2">
        <v>42</v>
      </c>
    </row>
    <row r="23" spans="1:29" x14ac:dyDescent="0.2">
      <c r="B23" s="20"/>
      <c r="C23" s="20"/>
      <c r="D23" s="20"/>
      <c r="F23" s="20"/>
      <c r="G23" s="20"/>
    </row>
    <row r="24" spans="1:29" x14ac:dyDescent="0.2">
      <c r="A24" t="s">
        <v>26</v>
      </c>
    </row>
    <row r="25" spans="1:29" x14ac:dyDescent="0.2">
      <c r="A25" t="s">
        <v>27</v>
      </c>
    </row>
    <row r="26" spans="1:29" x14ac:dyDescent="0.2">
      <c r="A26" t="s">
        <v>28</v>
      </c>
    </row>
    <row r="27" spans="1:29" x14ac:dyDescent="0.2">
      <c r="A27" t="s">
        <v>29</v>
      </c>
    </row>
    <row r="28" spans="1:29" x14ac:dyDescent="0.2">
      <c r="A28" t="s">
        <v>30</v>
      </c>
    </row>
    <row r="29" spans="1:29" x14ac:dyDescent="0.2">
      <c r="A29" t="s">
        <v>31</v>
      </c>
    </row>
    <row r="30" spans="1:29" x14ac:dyDescent="0.2">
      <c r="A30" t="s">
        <v>32</v>
      </c>
    </row>
    <row r="31" spans="1:29" x14ac:dyDescent="0.2">
      <c r="A31" t="s">
        <v>33</v>
      </c>
    </row>
    <row r="32" spans="1:29" x14ac:dyDescent="0.2">
      <c r="A32" t="s">
        <v>34</v>
      </c>
    </row>
    <row r="33" spans="1:1" x14ac:dyDescent="0.2">
      <c r="A33" t="s">
        <v>35</v>
      </c>
    </row>
    <row r="34" spans="1:1" x14ac:dyDescent="0.2">
      <c r="A34" t="s">
        <v>36</v>
      </c>
    </row>
    <row r="35" spans="1:1" x14ac:dyDescent="0.2">
      <c r="A35" t="s">
        <v>37</v>
      </c>
    </row>
    <row r="36" spans="1:1" x14ac:dyDescent="0.2">
      <c r="A36" t="s">
        <v>38</v>
      </c>
    </row>
    <row r="37" spans="1:1" x14ac:dyDescent="0.2">
      <c r="A37" t="s">
        <v>39</v>
      </c>
    </row>
  </sheetData>
  <mergeCells count="2">
    <mergeCell ref="B23:D23"/>
    <mergeCell ref="F23:G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 and post- psych and taq</vt:lpstr>
      <vt:lpstr>pre- and post- psych and ta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Megan Clare Sutton</cp:lastModifiedBy>
  <cp:revision/>
  <dcterms:created xsi:type="dcterms:W3CDTF">2026-05-05T00:10:01Z</dcterms:created>
  <dcterms:modified xsi:type="dcterms:W3CDTF">2026-10-10T00:03:23Z</dcterms:modified>
  <cp:category/>
  <cp:contentStatus/>
</cp:coreProperties>
</file>